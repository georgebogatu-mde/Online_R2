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2"/>
  <mc:AlternateContent xmlns:mc="http://schemas.openxmlformats.org/markup-compatibility/2006">
    <mc:Choice Requires="x15">
      <x15ac:absPath xmlns:x15ac="http://schemas.microsoft.com/office/spreadsheetml/2010/11/ac" url="D:\00 GeorgeMDE\00 Oferte\PRJ 2722\"/>
    </mc:Choice>
  </mc:AlternateContent>
  <xr:revisionPtr revIDLastSave="0" documentId="13_ncr:1_{3EB0C34E-BDFB-42F0-BEE8-24983F9BEB8D}" xr6:coauthVersionLast="47" xr6:coauthVersionMax="47" xr10:uidLastSave="{00000000-0000-0000-0000-000000000000}"/>
  <bookViews>
    <workbookView xWindow="14295" yWindow="0" windowWidth="14610" windowHeight="15585" tabRatio="500" xr2:uid="{00000000-000D-0000-FFFF-FFFF00000000}"/>
  </bookViews>
  <sheets>
    <sheet name="ProgramCalcul" sheetId="1" r:id="rId1"/>
    <sheet name="RETETA" sheetId="2" r:id="rId2"/>
    <sheet name="CENTRALIZATOR" sheetId="3" r:id="rId3"/>
    <sheet name="Utilaje" sheetId="4" r:id="rId4"/>
    <sheet name="ReferinteTabel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Q7" i="1" l="1"/>
  <c r="AQ8" i="1"/>
  <c r="AQ9" i="1"/>
  <c r="AQ10" i="1"/>
  <c r="AQ6" i="1"/>
  <c r="AB10" i="1"/>
  <c r="AM10" i="1"/>
  <c r="AK10" i="1"/>
  <c r="AI10" i="1"/>
  <c r="AF10" i="1"/>
  <c r="AC10" i="1"/>
  <c r="W10" i="1"/>
  <c r="U10" i="1"/>
  <c r="T10" i="1"/>
  <c r="AB7" i="1"/>
  <c r="AB8" i="1"/>
  <c r="AC8" i="1" s="1"/>
  <c r="AB9" i="1"/>
  <c r="AB6" i="1"/>
  <c r="AM9" i="1"/>
  <c r="AK9" i="1"/>
  <c r="AI9" i="1"/>
  <c r="AF9" i="1"/>
  <c r="AC9" i="1"/>
  <c r="W9" i="1"/>
  <c r="U9" i="1"/>
  <c r="T9" i="1"/>
  <c r="AM8" i="1"/>
  <c r="AK8" i="1"/>
  <c r="AI8" i="1"/>
  <c r="AF8" i="1"/>
  <c r="W8" i="1"/>
  <c r="U8" i="1"/>
  <c r="T8" i="1"/>
  <c r="AM7" i="1"/>
  <c r="AK7" i="1"/>
  <c r="AI7" i="1"/>
  <c r="AF7" i="1"/>
  <c r="AC7" i="1"/>
  <c r="W7" i="1"/>
  <c r="U7" i="1"/>
  <c r="T7" i="1"/>
  <c r="T6" i="1"/>
  <c r="U6" i="1"/>
  <c r="W6" i="1"/>
  <c r="AD6" i="1" s="1"/>
  <c r="AC6" i="1"/>
  <c r="AF6" i="1"/>
  <c r="AI6" i="1"/>
  <c r="AK6" i="1"/>
  <c r="AM6" i="1"/>
  <c r="C37" i="4"/>
  <c r="D37" i="4" s="1"/>
  <c r="C36" i="4"/>
  <c r="D36" i="4" s="1"/>
  <c r="C35" i="4"/>
  <c r="D35" i="4" s="1"/>
  <c r="C34" i="4"/>
  <c r="D34" i="4" s="1"/>
  <c r="C33" i="4"/>
  <c r="D33" i="4" s="1"/>
  <c r="C32" i="4"/>
  <c r="D32" i="4" s="1"/>
  <c r="C31" i="4"/>
  <c r="D31" i="4" s="1"/>
  <c r="C30" i="4"/>
  <c r="D30" i="4" s="1"/>
  <c r="C29" i="4"/>
  <c r="D29" i="4" s="1"/>
  <c r="C28" i="4"/>
  <c r="D28" i="4" s="1"/>
  <c r="C27" i="4"/>
  <c r="D27" i="4" s="1"/>
  <c r="D26" i="4"/>
  <c r="C26" i="4"/>
  <c r="C25" i="4"/>
  <c r="D25" i="4" s="1"/>
  <c r="C24" i="4"/>
  <c r="D24" i="4" s="1"/>
  <c r="C23" i="4"/>
  <c r="D23" i="4" s="1"/>
  <c r="C22" i="4"/>
  <c r="D22" i="4" s="1"/>
  <c r="C21" i="4"/>
  <c r="D21" i="4" s="1"/>
  <c r="C20" i="4"/>
  <c r="D20" i="4" s="1"/>
  <c r="C19" i="4"/>
  <c r="D19" i="4" s="1"/>
  <c r="D18" i="4"/>
  <c r="C18" i="4"/>
  <c r="C17" i="4"/>
  <c r="D17" i="4" s="1"/>
  <c r="C16" i="4"/>
  <c r="D16" i="4" s="1"/>
  <c r="C15" i="4"/>
  <c r="D15" i="4" s="1"/>
  <c r="C14" i="4"/>
  <c r="D14" i="4" s="1"/>
  <c r="C13" i="4"/>
  <c r="D13" i="4" s="1"/>
  <c r="C12" i="4"/>
  <c r="D12" i="4" s="1"/>
  <c r="C11" i="4"/>
  <c r="D11" i="4" s="1"/>
  <c r="D10" i="4"/>
  <c r="C10" i="4"/>
  <c r="C9" i="4"/>
  <c r="D9" i="4" s="1"/>
  <c r="C8" i="4"/>
  <c r="D8" i="4" s="1"/>
  <c r="H7" i="4"/>
  <c r="C7" i="4"/>
  <c r="D7" i="4" s="1"/>
  <c r="H6" i="4"/>
  <c r="C6" i="4"/>
  <c r="D6" i="4" s="1"/>
  <c r="H5" i="4"/>
  <c r="C5" i="4"/>
  <c r="D5" i="4" s="1"/>
  <c r="D4" i="4"/>
  <c r="C4" i="4"/>
  <c r="O19" i="3"/>
  <c r="P19" i="3" s="1"/>
  <c r="J19" i="3"/>
  <c r="I19" i="3"/>
  <c r="H19" i="3"/>
  <c r="F19" i="3"/>
  <c r="E19" i="3"/>
  <c r="D19" i="3"/>
  <c r="C19" i="3"/>
  <c r="B19" i="3"/>
  <c r="P18" i="3"/>
  <c r="O18" i="3"/>
  <c r="J18" i="3"/>
  <c r="I18" i="3"/>
  <c r="H18" i="3"/>
  <c r="F18" i="3"/>
  <c r="E18" i="3"/>
  <c r="D18" i="3"/>
  <c r="C18" i="3"/>
  <c r="B18" i="3"/>
  <c r="O17" i="3"/>
  <c r="P17" i="3" s="1"/>
  <c r="J17" i="3"/>
  <c r="I17" i="3"/>
  <c r="H17" i="3"/>
  <c r="F17" i="3"/>
  <c r="E17" i="3"/>
  <c r="D17" i="3"/>
  <c r="C17" i="3"/>
  <c r="B17" i="3"/>
  <c r="O16" i="3"/>
  <c r="P16" i="3" s="1"/>
  <c r="J16" i="3"/>
  <c r="I16" i="3"/>
  <c r="H16" i="3"/>
  <c r="F16" i="3"/>
  <c r="E16" i="3"/>
  <c r="D16" i="3"/>
  <c r="C16" i="3"/>
  <c r="B16" i="3"/>
  <c r="P15" i="3"/>
  <c r="O15" i="3"/>
  <c r="J15" i="3"/>
  <c r="I15" i="3"/>
  <c r="H15" i="3"/>
  <c r="F15" i="3"/>
  <c r="E15" i="3"/>
  <c r="D15" i="3"/>
  <c r="C15" i="3"/>
  <c r="B15" i="3"/>
  <c r="O14" i="3"/>
  <c r="P14" i="3" s="1"/>
  <c r="J14" i="3"/>
  <c r="I14" i="3"/>
  <c r="H14" i="3"/>
  <c r="F14" i="3"/>
  <c r="E14" i="3"/>
  <c r="D14" i="3"/>
  <c r="C14" i="3"/>
  <c r="B14" i="3"/>
  <c r="O13" i="3"/>
  <c r="P13" i="3" s="1"/>
  <c r="J13" i="3"/>
  <c r="I13" i="3"/>
  <c r="H13" i="3"/>
  <c r="F13" i="3"/>
  <c r="E13" i="3"/>
  <c r="D13" i="3"/>
  <c r="C13" i="3"/>
  <c r="B13" i="3"/>
  <c r="O12" i="3"/>
  <c r="P12" i="3" s="1"/>
  <c r="J12" i="3"/>
  <c r="I12" i="3"/>
  <c r="H12" i="3"/>
  <c r="F12" i="3"/>
  <c r="E12" i="3"/>
  <c r="D12" i="3"/>
  <c r="C12" i="3"/>
  <c r="O11" i="3"/>
  <c r="P11" i="3" s="1"/>
  <c r="J11" i="3"/>
  <c r="I11" i="3"/>
  <c r="H11" i="3"/>
  <c r="F11" i="3"/>
  <c r="E11" i="3"/>
  <c r="D11" i="3"/>
  <c r="C11" i="3"/>
  <c r="B11" i="3"/>
  <c r="P10" i="3"/>
  <c r="O10" i="3"/>
  <c r="J10" i="3"/>
  <c r="I10" i="3"/>
  <c r="H10" i="3"/>
  <c r="F10" i="3"/>
  <c r="E10" i="3"/>
  <c r="D10" i="3"/>
  <c r="C10" i="3"/>
  <c r="B10" i="3"/>
  <c r="J9" i="3"/>
  <c r="I9" i="3"/>
  <c r="H9" i="3"/>
  <c r="F9" i="3"/>
  <c r="E9" i="3"/>
  <c r="D9" i="3"/>
  <c r="C9" i="3"/>
  <c r="B9" i="3"/>
  <c r="J8" i="3"/>
  <c r="I8" i="3"/>
  <c r="H8" i="3"/>
  <c r="F8" i="3"/>
  <c r="E8" i="3"/>
  <c r="D8" i="3"/>
  <c r="C8" i="3"/>
  <c r="B8" i="3"/>
  <c r="J7" i="3"/>
  <c r="I7" i="3"/>
  <c r="H7" i="3"/>
  <c r="F7" i="3"/>
  <c r="E7" i="3"/>
  <c r="D7" i="3"/>
  <c r="C7" i="3"/>
  <c r="B7" i="3"/>
  <c r="J6" i="3"/>
  <c r="I6" i="3"/>
  <c r="H6" i="3"/>
  <c r="F6" i="3"/>
  <c r="E6" i="3"/>
  <c r="D6" i="3"/>
  <c r="C6" i="3"/>
  <c r="B6" i="3"/>
  <c r="J5" i="3"/>
  <c r="I5" i="3"/>
  <c r="H5" i="3"/>
  <c r="F5" i="3"/>
  <c r="E5" i="3"/>
  <c r="D5" i="3"/>
  <c r="C5" i="3"/>
  <c r="B5" i="3"/>
  <c r="Q285" i="2"/>
  <c r="R285" i="2" s="1"/>
  <c r="I285" i="2"/>
  <c r="G285" i="2"/>
  <c r="H285" i="2" s="1"/>
  <c r="F285" i="2"/>
  <c r="G282" i="2"/>
  <c r="G281" i="2"/>
  <c r="G280" i="2"/>
  <c r="G279" i="2"/>
  <c r="G278" i="2"/>
  <c r="G277" i="2"/>
  <c r="G283" i="2" s="1"/>
  <c r="F277" i="2"/>
  <c r="C277" i="2"/>
  <c r="Q269" i="2"/>
  <c r="R269" i="2" s="1"/>
  <c r="I269" i="2"/>
  <c r="G269" i="2"/>
  <c r="H269" i="2" s="1"/>
  <c r="F269" i="2"/>
  <c r="G266" i="2"/>
  <c r="G265" i="2"/>
  <c r="G264" i="2"/>
  <c r="G267" i="2" s="1"/>
  <c r="G263" i="2"/>
  <c r="G262" i="2"/>
  <c r="G261" i="2"/>
  <c r="F261" i="2"/>
  <c r="C261" i="2"/>
  <c r="Q253" i="2"/>
  <c r="R253" i="2" s="1"/>
  <c r="I253" i="2"/>
  <c r="G253" i="2"/>
  <c r="H253" i="2" s="1"/>
  <c r="F253" i="2"/>
  <c r="G250" i="2"/>
  <c r="G249" i="2"/>
  <c r="G248" i="2"/>
  <c r="G247" i="2"/>
  <c r="G246" i="2"/>
  <c r="F245" i="2"/>
  <c r="G245" i="2" s="1"/>
  <c r="G251" i="2" s="1"/>
  <c r="C245" i="2"/>
  <c r="Q237" i="2"/>
  <c r="R237" i="2" s="1"/>
  <c r="I237" i="2"/>
  <c r="G237" i="2"/>
  <c r="H237" i="2" s="1"/>
  <c r="F237" i="2"/>
  <c r="G234" i="2"/>
  <c r="G233" i="2"/>
  <c r="G232" i="2"/>
  <c r="G231" i="2"/>
  <c r="G230" i="2"/>
  <c r="F229" i="2"/>
  <c r="G229" i="2" s="1"/>
  <c r="G235" i="2" s="1"/>
  <c r="C229" i="2"/>
  <c r="Q221" i="2"/>
  <c r="R221" i="2" s="1"/>
  <c r="I221" i="2"/>
  <c r="G221" i="2"/>
  <c r="H221" i="2" s="1"/>
  <c r="F221" i="2"/>
  <c r="G218" i="2"/>
  <c r="G217" i="2"/>
  <c r="G216" i="2"/>
  <c r="G215" i="2"/>
  <c r="G214" i="2"/>
  <c r="F213" i="2"/>
  <c r="G213" i="2" s="1"/>
  <c r="G219" i="2" s="1"/>
  <c r="C213" i="2"/>
  <c r="Q205" i="2"/>
  <c r="R205" i="2" s="1"/>
  <c r="I205" i="2"/>
  <c r="H205" i="2"/>
  <c r="G205" i="2"/>
  <c r="F205" i="2"/>
  <c r="G202" i="2"/>
  <c r="G201" i="2"/>
  <c r="G200" i="2"/>
  <c r="G199" i="2"/>
  <c r="G198" i="2"/>
  <c r="F197" i="2"/>
  <c r="G197" i="2" s="1"/>
  <c r="G203" i="2" s="1"/>
  <c r="C197" i="2"/>
  <c r="R189" i="2"/>
  <c r="Q189" i="2"/>
  <c r="I189" i="2"/>
  <c r="G189" i="2"/>
  <c r="H189" i="2" s="1"/>
  <c r="F189" i="2"/>
  <c r="G186" i="2"/>
  <c r="G185" i="2"/>
  <c r="G184" i="2"/>
  <c r="G183" i="2"/>
  <c r="G182" i="2"/>
  <c r="G181" i="2"/>
  <c r="G187" i="2" s="1"/>
  <c r="F181" i="2"/>
  <c r="C181" i="2"/>
  <c r="Q173" i="2"/>
  <c r="R173" i="2" s="1"/>
  <c r="I173" i="2"/>
  <c r="G173" i="2"/>
  <c r="H173" i="2" s="1"/>
  <c r="F173" i="2"/>
  <c r="G170" i="2"/>
  <c r="G169" i="2"/>
  <c r="G168" i="2"/>
  <c r="G167" i="2"/>
  <c r="G166" i="2"/>
  <c r="F165" i="2"/>
  <c r="G165" i="2" s="1"/>
  <c r="G171" i="2" s="1"/>
  <c r="C165" i="2"/>
  <c r="F159" i="2"/>
  <c r="D159" i="2"/>
  <c r="B12" i="3" s="1"/>
  <c r="Q157" i="2"/>
  <c r="R157" i="2" s="1"/>
  <c r="I157" i="2"/>
  <c r="G157" i="2"/>
  <c r="H157" i="2" s="1"/>
  <c r="F157" i="2"/>
  <c r="G154" i="2"/>
  <c r="G153" i="2"/>
  <c r="G152" i="2"/>
  <c r="G151" i="2"/>
  <c r="G150" i="2"/>
  <c r="F149" i="2"/>
  <c r="G149" i="2" s="1"/>
  <c r="G155" i="2" s="1"/>
  <c r="C149" i="2"/>
  <c r="F143" i="2"/>
  <c r="D143" i="2"/>
  <c r="Q141" i="2"/>
  <c r="R141" i="2" s="1"/>
  <c r="I141" i="2"/>
  <c r="G141" i="2"/>
  <c r="H141" i="2" s="1"/>
  <c r="F141" i="2"/>
  <c r="G138" i="2"/>
  <c r="G137" i="2"/>
  <c r="G136" i="2"/>
  <c r="G135" i="2"/>
  <c r="G134" i="2"/>
  <c r="F133" i="2"/>
  <c r="G133" i="2" s="1"/>
  <c r="G139" i="2" s="1"/>
  <c r="C133" i="2"/>
  <c r="I125" i="2"/>
  <c r="G125" i="2"/>
  <c r="H125" i="2" s="1"/>
  <c r="F125" i="2"/>
  <c r="G122" i="2"/>
  <c r="G121" i="2"/>
  <c r="G120" i="2"/>
  <c r="G119" i="2"/>
  <c r="G118" i="2"/>
  <c r="C117" i="2"/>
  <c r="I109" i="2"/>
  <c r="G109" i="2"/>
  <c r="H109" i="2" s="1"/>
  <c r="F109" i="2"/>
  <c r="G106" i="2"/>
  <c r="G105" i="2"/>
  <c r="G104" i="2"/>
  <c r="G103" i="2"/>
  <c r="G102" i="2"/>
  <c r="C101" i="2"/>
  <c r="I93" i="2"/>
  <c r="G93" i="2"/>
  <c r="H93" i="2" s="1"/>
  <c r="F93" i="2"/>
  <c r="G90" i="2"/>
  <c r="G89" i="2"/>
  <c r="G88" i="2"/>
  <c r="G87" i="2"/>
  <c r="G86" i="2"/>
  <c r="C85" i="2"/>
  <c r="I77" i="2"/>
  <c r="G77" i="2"/>
  <c r="H77" i="2" s="1"/>
  <c r="F77" i="2"/>
  <c r="G74" i="2"/>
  <c r="G73" i="2"/>
  <c r="G72" i="2"/>
  <c r="G71" i="2"/>
  <c r="G70" i="2"/>
  <c r="C69" i="2"/>
  <c r="I61" i="2"/>
  <c r="G61" i="2"/>
  <c r="H61" i="2" s="1"/>
  <c r="F61" i="2"/>
  <c r="G58" i="2"/>
  <c r="G57" i="2"/>
  <c r="G56" i="2"/>
  <c r="G55" i="2"/>
  <c r="G54" i="2"/>
  <c r="C53" i="2"/>
  <c r="AO28" i="1"/>
  <c r="K28" i="1"/>
  <c r="J28" i="1"/>
  <c r="AD10" i="1" l="1"/>
  <c r="AE10" i="1" s="1"/>
  <c r="AD9" i="1"/>
  <c r="AE9" i="1" s="1"/>
  <c r="AD8" i="1"/>
  <c r="AE8" i="1" s="1"/>
  <c r="AD7" i="1"/>
  <c r="AE7" i="1" s="1"/>
  <c r="AE6" i="1"/>
  <c r="AG6" i="1"/>
  <c r="AH6" i="1" s="1"/>
  <c r="AL6" i="1" s="1"/>
  <c r="G11" i="3"/>
  <c r="B157" i="2"/>
  <c r="C157" i="2" s="1"/>
  <c r="G15" i="3"/>
  <c r="B221" i="2"/>
  <c r="C221" i="2" s="1"/>
  <c r="G10" i="3"/>
  <c r="B141" i="2"/>
  <c r="C141" i="2" s="1"/>
  <c r="G16" i="3"/>
  <c r="B237" i="2"/>
  <c r="C237" i="2" s="1"/>
  <c r="G14" i="3"/>
  <c r="B205" i="2"/>
  <c r="C205" i="2" s="1"/>
  <c r="B285" i="2"/>
  <c r="C285" i="2" s="1"/>
  <c r="G19" i="3"/>
  <c r="G17" i="3"/>
  <c r="B253" i="2"/>
  <c r="C253" i="2" s="1"/>
  <c r="G12" i="3"/>
  <c r="B173" i="2"/>
  <c r="C173" i="2" s="1"/>
  <c r="B269" i="2"/>
  <c r="C269" i="2" s="1"/>
  <c r="G18" i="3"/>
  <c r="B189" i="2"/>
  <c r="C189" i="2" s="1"/>
  <c r="G13" i="3"/>
  <c r="AG10" i="1" l="1"/>
  <c r="AH10" i="1" s="1"/>
  <c r="AG9" i="1"/>
  <c r="AH9" i="1" s="1"/>
  <c r="AG8" i="1"/>
  <c r="AH8" i="1" s="1"/>
  <c r="AG7" i="1"/>
  <c r="AH7" i="1" s="1"/>
  <c r="AL7" i="1" s="1"/>
  <c r="AH28" i="1"/>
  <c r="D205" i="2"/>
  <c r="E205" i="2" s="1"/>
  <c r="J205" i="2" s="1"/>
  <c r="E269" i="2"/>
  <c r="J269" i="2" s="1"/>
  <c r="D269" i="2"/>
  <c r="D189" i="2"/>
  <c r="E189" i="2" s="1"/>
  <c r="J189" i="2" s="1"/>
  <c r="D237" i="2"/>
  <c r="E237" i="2" s="1"/>
  <c r="J237" i="2" s="1"/>
  <c r="D221" i="2"/>
  <c r="E221" i="2" s="1"/>
  <c r="J221" i="2" s="1"/>
  <c r="E253" i="2"/>
  <c r="J253" i="2" s="1"/>
  <c r="D253" i="2"/>
  <c r="E141" i="2"/>
  <c r="J141" i="2" s="1"/>
  <c r="D141" i="2"/>
  <c r="D173" i="2"/>
  <c r="E173" i="2" s="1"/>
  <c r="J173" i="2" s="1"/>
  <c r="D157" i="2"/>
  <c r="E157" i="2"/>
  <c r="J157" i="2" s="1"/>
  <c r="D285" i="2"/>
  <c r="E285" i="2"/>
  <c r="J285" i="2" s="1"/>
  <c r="F117" i="2" l="1"/>
  <c r="G117" i="2" s="1"/>
  <c r="G123" i="2" s="1"/>
  <c r="AL10" i="1"/>
  <c r="AL9" i="1"/>
  <c r="F101" i="2"/>
  <c r="G101" i="2" s="1"/>
  <c r="G107" i="2" s="1"/>
  <c r="F69" i="2"/>
  <c r="G69" i="2" s="1"/>
  <c r="G75" i="2" s="1"/>
  <c r="B77" i="2" s="1"/>
  <c r="C77" i="2" s="1"/>
  <c r="F85" i="2"/>
  <c r="G85" i="2" s="1"/>
  <c r="G91" i="2" s="1"/>
  <c r="AL8" i="1"/>
  <c r="F53" i="2"/>
  <c r="G53" i="2" s="1"/>
  <c r="G59" i="2" s="1"/>
  <c r="K237" i="2"/>
  <c r="L237" i="2" s="1"/>
  <c r="K221" i="2"/>
  <c r="L221" i="2" s="1"/>
  <c r="K189" i="2"/>
  <c r="L189" i="2" s="1"/>
  <c r="K205" i="2"/>
  <c r="L205" i="2" s="1"/>
  <c r="K173" i="2"/>
  <c r="L173" i="2"/>
  <c r="K157" i="2"/>
  <c r="L157" i="2" s="1"/>
  <c r="K141" i="2"/>
  <c r="L141" i="2"/>
  <c r="K285" i="2"/>
  <c r="L285" i="2" s="1"/>
  <c r="K253" i="2"/>
  <c r="L253" i="2" s="1"/>
  <c r="K269" i="2"/>
  <c r="L269" i="2" s="1"/>
  <c r="Q77" i="2"/>
  <c r="R77" i="2" s="1"/>
  <c r="O6" i="3"/>
  <c r="P6" i="3" s="1"/>
  <c r="O9" i="3" l="1"/>
  <c r="P9" i="3" s="1"/>
  <c r="Q125" i="2"/>
  <c r="R125" i="2" s="1"/>
  <c r="G9" i="3"/>
  <c r="B125" i="2"/>
  <c r="C125" i="2" s="1"/>
  <c r="B109" i="2"/>
  <c r="C109" i="2" s="1"/>
  <c r="D109" i="2" s="1"/>
  <c r="E109" i="2" s="1"/>
  <c r="J109" i="2" s="1"/>
  <c r="G8" i="3"/>
  <c r="O8" i="3"/>
  <c r="P8" i="3" s="1"/>
  <c r="Q109" i="2"/>
  <c r="R109" i="2" s="1"/>
  <c r="G6" i="3"/>
  <c r="Q93" i="2"/>
  <c r="R93" i="2" s="1"/>
  <c r="O7" i="3"/>
  <c r="P7" i="3" s="1"/>
  <c r="G7" i="3"/>
  <c r="B93" i="2"/>
  <c r="C93" i="2" s="1"/>
  <c r="G5" i="3"/>
  <c r="B61" i="2"/>
  <c r="C61" i="2" s="1"/>
  <c r="D61" i="2" s="1"/>
  <c r="E61" i="2" s="1"/>
  <c r="J61" i="2" s="1"/>
  <c r="K61" i="2" s="1"/>
  <c r="L61" i="2" s="1"/>
  <c r="O5" i="3"/>
  <c r="P5" i="3" s="1"/>
  <c r="AL28" i="1"/>
  <c r="Q61" i="2"/>
  <c r="R61" i="2" s="1"/>
  <c r="K17" i="3"/>
  <c r="M253" i="2"/>
  <c r="N253" i="2" s="1"/>
  <c r="K14" i="3"/>
  <c r="M205" i="2"/>
  <c r="N205" i="2" s="1"/>
  <c r="M269" i="2"/>
  <c r="N269" i="2"/>
  <c r="K18" i="3"/>
  <c r="M189" i="2"/>
  <c r="N189" i="2" s="1"/>
  <c r="K13" i="3"/>
  <c r="M285" i="2"/>
  <c r="K19" i="3"/>
  <c r="N285" i="2"/>
  <c r="N157" i="2"/>
  <c r="M157" i="2"/>
  <c r="K11" i="3"/>
  <c r="M221" i="2"/>
  <c r="N221" i="2" s="1"/>
  <c r="K15" i="3"/>
  <c r="M237" i="2"/>
  <c r="N237" i="2" s="1"/>
  <c r="K16" i="3"/>
  <c r="D77" i="2"/>
  <c r="E77" i="2" s="1"/>
  <c r="J77" i="2" s="1"/>
  <c r="M141" i="2"/>
  <c r="N141" i="2" s="1"/>
  <c r="K10" i="3"/>
  <c r="M173" i="2"/>
  <c r="N173" i="2" s="1"/>
  <c r="K12" i="3"/>
  <c r="D125" i="2" l="1"/>
  <c r="E125" i="2" s="1"/>
  <c r="J125" i="2" s="1"/>
  <c r="K125" i="2" s="1"/>
  <c r="L125" i="2" s="1"/>
  <c r="K109" i="2"/>
  <c r="L109" i="2"/>
  <c r="D93" i="2"/>
  <c r="E93" i="2"/>
  <c r="J93" i="2" s="1"/>
  <c r="K93" i="2" s="1"/>
  <c r="L93" i="2" s="1"/>
  <c r="L15" i="3"/>
  <c r="M15" i="3" s="1"/>
  <c r="O221" i="2"/>
  <c r="O141" i="2"/>
  <c r="L10" i="3"/>
  <c r="M10" i="3" s="1"/>
  <c r="K5" i="3"/>
  <c r="M61" i="2"/>
  <c r="N61" i="2" s="1"/>
  <c r="L17" i="3"/>
  <c r="M17" i="3" s="1"/>
  <c r="O253" i="2"/>
  <c r="O173" i="2"/>
  <c r="L12" i="3"/>
  <c r="M12" i="3" s="1"/>
  <c r="O189" i="2"/>
  <c r="L13" i="3"/>
  <c r="M13" i="3" s="1"/>
  <c r="L14" i="3"/>
  <c r="M14" i="3" s="1"/>
  <c r="O205" i="2"/>
  <c r="O237" i="2"/>
  <c r="L16" i="3"/>
  <c r="M16" i="3" s="1"/>
  <c r="K77" i="2"/>
  <c r="L77" i="2" s="1"/>
  <c r="O269" i="2"/>
  <c r="L18" i="3"/>
  <c r="M18" i="3" s="1"/>
  <c r="O157" i="2"/>
  <c r="L11" i="3"/>
  <c r="M11" i="3" s="1"/>
  <c r="L19" i="3"/>
  <c r="M19" i="3" s="1"/>
  <c r="O285" i="2"/>
  <c r="K9" i="3" l="1"/>
  <c r="M125" i="2"/>
  <c r="N125" i="2"/>
  <c r="M109" i="2"/>
  <c r="N109" i="2"/>
  <c r="K8" i="3"/>
  <c r="M93" i="2"/>
  <c r="N93" i="2" s="1"/>
  <c r="K7" i="3"/>
  <c r="L5" i="3"/>
  <c r="M5" i="3" s="1"/>
  <c r="O61" i="2"/>
  <c r="K6" i="3"/>
  <c r="M77" i="2"/>
  <c r="N77" i="2" s="1"/>
  <c r="L9" i="3" l="1"/>
  <c r="M9" i="3" s="1"/>
  <c r="O125" i="2"/>
  <c r="L8" i="3"/>
  <c r="M8" i="3" s="1"/>
  <c r="O109" i="2"/>
  <c r="L7" i="3"/>
  <c r="M7" i="3" s="1"/>
  <c r="O93" i="2"/>
  <c r="L6" i="3"/>
  <c r="M6" i="3" s="1"/>
  <c r="O7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60" authorId="0" shapeId="0" xr:uid="{00000000-0006-0000-0100-000001000000}">
      <text>
        <r>
          <rPr>
            <sz val="10"/>
            <rFont val="Arial"/>
            <family val="2"/>
          </rPr>
          <t>Admin:
Materiale preț inițial</t>
        </r>
      </text>
    </comment>
    <comment ref="D60" authorId="0" shapeId="0" xr:uid="{00000000-0006-0000-0100-000010000000}">
      <text>
        <r>
          <rPr>
            <sz val="10"/>
            <rFont val="Arial"/>
            <family val="2"/>
          </rPr>
          <t>Admin:
Corecție preț material</t>
        </r>
      </text>
    </comment>
    <comment ref="E60" authorId="0" shapeId="0" xr:uid="{00000000-0006-0000-0100-00001F000000}">
      <text>
        <r>
          <rPr>
            <sz val="10"/>
            <rFont val="Arial"/>
            <family val="2"/>
          </rPr>
          <t>Admin:
Materiale preț corectat</t>
        </r>
      </text>
    </comment>
    <comment ref="H60" authorId="0" shapeId="0" xr:uid="{00000000-0006-0000-0100-00002E000000}">
      <text>
        <r>
          <rPr>
            <sz val="10"/>
            <rFont val="Arial"/>
            <family val="2"/>
          </rPr>
          <t>Admin:
CAM (Contrib. Asig. Munca)</t>
        </r>
      </text>
    </comment>
    <comment ref="J60" authorId="0" shapeId="0" xr:uid="{00000000-0006-0000-0100-00003D000000}">
      <text>
        <r>
          <rPr>
            <sz val="10"/>
            <rFont val="Arial"/>
            <family val="2"/>
          </rPr>
          <t>Admin:
Cheltuieli directe</t>
        </r>
      </text>
    </comment>
    <comment ref="K60" authorId="0" shapeId="0" xr:uid="{00000000-0006-0000-0100-00004C000000}">
      <text>
        <r>
          <rPr>
            <sz val="10"/>
            <rFont val="Arial"/>
            <family val="2"/>
          </rPr>
          <t>Admin:
Cheltuieli indirecte</t>
        </r>
      </text>
    </comment>
    <comment ref="B76" authorId="0" shapeId="0" xr:uid="{00000000-0006-0000-0100-000002000000}">
      <text>
        <r>
          <rPr>
            <sz val="10"/>
            <rFont val="Arial"/>
            <family val="2"/>
          </rPr>
          <t>Admin:
Materiale preț inițial</t>
        </r>
      </text>
    </comment>
    <comment ref="D76" authorId="0" shapeId="0" xr:uid="{00000000-0006-0000-0100-000011000000}">
      <text>
        <r>
          <rPr>
            <sz val="10"/>
            <rFont val="Arial"/>
            <family val="2"/>
          </rPr>
          <t>Admin:
Corecție preț material</t>
        </r>
      </text>
    </comment>
    <comment ref="E76" authorId="0" shapeId="0" xr:uid="{00000000-0006-0000-0100-000020000000}">
      <text>
        <r>
          <rPr>
            <sz val="10"/>
            <rFont val="Arial"/>
            <family val="2"/>
          </rPr>
          <t>Admin:
Materiale preț corectat</t>
        </r>
      </text>
    </comment>
    <comment ref="H76" authorId="0" shapeId="0" xr:uid="{00000000-0006-0000-0100-00002F000000}">
      <text>
        <r>
          <rPr>
            <sz val="10"/>
            <rFont val="Arial"/>
            <family val="2"/>
          </rPr>
          <t>Admin:
CAM (Contrib. Asig. Munca)</t>
        </r>
      </text>
    </comment>
    <comment ref="J76" authorId="0" shapeId="0" xr:uid="{00000000-0006-0000-0100-00003E000000}">
      <text>
        <r>
          <rPr>
            <sz val="10"/>
            <rFont val="Arial"/>
            <family val="2"/>
          </rPr>
          <t>Admin:
Cheltuieli directe</t>
        </r>
      </text>
    </comment>
    <comment ref="K76" authorId="0" shapeId="0" xr:uid="{00000000-0006-0000-0100-00004D000000}">
      <text>
        <r>
          <rPr>
            <sz val="10"/>
            <rFont val="Arial"/>
            <family val="2"/>
          </rPr>
          <t>Admin:
Cheltuieli indirecte</t>
        </r>
      </text>
    </comment>
    <comment ref="B92" authorId="0" shapeId="0" xr:uid="{00000000-0006-0000-0100-000003000000}">
      <text>
        <r>
          <rPr>
            <sz val="10"/>
            <rFont val="Arial"/>
            <family val="2"/>
          </rPr>
          <t>Admin:
Materiale preț inițial</t>
        </r>
      </text>
    </comment>
    <comment ref="D92" authorId="0" shapeId="0" xr:uid="{00000000-0006-0000-0100-000012000000}">
      <text>
        <r>
          <rPr>
            <sz val="10"/>
            <rFont val="Arial"/>
            <family val="2"/>
          </rPr>
          <t>Admin:
Corecție preț material</t>
        </r>
      </text>
    </comment>
    <comment ref="E92" authorId="0" shapeId="0" xr:uid="{00000000-0006-0000-0100-000021000000}">
      <text>
        <r>
          <rPr>
            <sz val="10"/>
            <rFont val="Arial"/>
            <family val="2"/>
          </rPr>
          <t>Admin:
Materiale preț corectat</t>
        </r>
      </text>
    </comment>
    <comment ref="H92" authorId="0" shapeId="0" xr:uid="{00000000-0006-0000-0100-000030000000}">
      <text>
        <r>
          <rPr>
            <sz val="10"/>
            <rFont val="Arial"/>
            <family val="2"/>
          </rPr>
          <t>Admin:
CAM (Contrib. Asig. Munca)</t>
        </r>
      </text>
    </comment>
    <comment ref="J92" authorId="0" shapeId="0" xr:uid="{00000000-0006-0000-0100-00003F000000}">
      <text>
        <r>
          <rPr>
            <sz val="10"/>
            <rFont val="Arial"/>
            <family val="2"/>
          </rPr>
          <t>Admin:
Cheltuieli directe</t>
        </r>
      </text>
    </comment>
    <comment ref="K92" authorId="0" shapeId="0" xr:uid="{00000000-0006-0000-0100-00004E000000}">
      <text>
        <r>
          <rPr>
            <sz val="10"/>
            <rFont val="Arial"/>
            <family val="2"/>
          </rPr>
          <t>Admin:
Cheltuieli indirecte</t>
        </r>
      </text>
    </comment>
    <comment ref="B108" authorId="0" shapeId="0" xr:uid="{00000000-0006-0000-0100-000004000000}">
      <text>
        <r>
          <rPr>
            <sz val="10"/>
            <rFont val="Arial"/>
            <family val="2"/>
          </rPr>
          <t>Admin:
Materiale preț inițial</t>
        </r>
      </text>
    </comment>
    <comment ref="D108" authorId="0" shapeId="0" xr:uid="{00000000-0006-0000-0100-000013000000}">
      <text>
        <r>
          <rPr>
            <sz val="10"/>
            <rFont val="Arial"/>
            <family val="2"/>
          </rPr>
          <t>Admin:
Corecție preț material</t>
        </r>
      </text>
    </comment>
    <comment ref="E108" authorId="0" shapeId="0" xr:uid="{00000000-0006-0000-0100-000022000000}">
      <text>
        <r>
          <rPr>
            <sz val="10"/>
            <rFont val="Arial"/>
            <family val="2"/>
          </rPr>
          <t>Admin:
Materiale preț corectat</t>
        </r>
      </text>
    </comment>
    <comment ref="H108" authorId="0" shapeId="0" xr:uid="{00000000-0006-0000-0100-000031000000}">
      <text>
        <r>
          <rPr>
            <sz val="10"/>
            <rFont val="Arial"/>
            <family val="2"/>
          </rPr>
          <t>Admin:
CAM (Contrib. Asig. Munca)</t>
        </r>
      </text>
    </comment>
    <comment ref="J108" authorId="0" shapeId="0" xr:uid="{00000000-0006-0000-0100-000040000000}">
      <text>
        <r>
          <rPr>
            <sz val="10"/>
            <rFont val="Arial"/>
            <family val="2"/>
          </rPr>
          <t>Admin:
Cheltuieli directe</t>
        </r>
      </text>
    </comment>
    <comment ref="K108" authorId="0" shapeId="0" xr:uid="{00000000-0006-0000-0100-00004F000000}">
      <text>
        <r>
          <rPr>
            <sz val="10"/>
            <rFont val="Arial"/>
            <family val="2"/>
          </rPr>
          <t>Admin:
Cheltuieli indirecte</t>
        </r>
      </text>
    </comment>
    <comment ref="B124" authorId="0" shapeId="0" xr:uid="{00000000-0006-0000-0100-000005000000}">
      <text>
        <r>
          <rPr>
            <sz val="10"/>
            <rFont val="Arial"/>
            <family val="2"/>
          </rPr>
          <t>Admin:
Materiale preț inițial</t>
        </r>
      </text>
    </comment>
    <comment ref="D124" authorId="0" shapeId="0" xr:uid="{00000000-0006-0000-0100-000014000000}">
      <text>
        <r>
          <rPr>
            <sz val="10"/>
            <rFont val="Arial"/>
            <family val="2"/>
          </rPr>
          <t>Admin:
Corecție preț material</t>
        </r>
      </text>
    </comment>
    <comment ref="E124" authorId="0" shapeId="0" xr:uid="{00000000-0006-0000-0100-000023000000}">
      <text>
        <r>
          <rPr>
            <sz val="10"/>
            <rFont val="Arial"/>
            <family val="2"/>
          </rPr>
          <t>Admin:
Materiale preț corectat</t>
        </r>
      </text>
    </comment>
    <comment ref="H124" authorId="0" shapeId="0" xr:uid="{00000000-0006-0000-0100-000032000000}">
      <text>
        <r>
          <rPr>
            <sz val="10"/>
            <rFont val="Arial"/>
            <family val="2"/>
          </rPr>
          <t>Admin:
CAM (Contrib. Asig. Munca)</t>
        </r>
      </text>
    </comment>
    <comment ref="J124" authorId="0" shapeId="0" xr:uid="{00000000-0006-0000-0100-000041000000}">
      <text>
        <r>
          <rPr>
            <sz val="10"/>
            <rFont val="Arial"/>
            <family val="2"/>
          </rPr>
          <t>Admin:
Cheltuieli directe</t>
        </r>
      </text>
    </comment>
    <comment ref="K124" authorId="0" shapeId="0" xr:uid="{00000000-0006-0000-0100-000050000000}">
      <text>
        <r>
          <rPr>
            <sz val="10"/>
            <rFont val="Arial"/>
            <family val="2"/>
          </rPr>
          <t>Admin:
Cheltuieli indirecte</t>
        </r>
      </text>
    </comment>
    <comment ref="B140" authorId="0" shapeId="0" xr:uid="{00000000-0006-0000-0100-000006000000}">
      <text>
        <r>
          <rPr>
            <sz val="10"/>
            <rFont val="Arial"/>
            <family val="2"/>
          </rPr>
          <t>Admin:
Materiale preț inițial</t>
        </r>
      </text>
    </comment>
    <comment ref="D140" authorId="0" shapeId="0" xr:uid="{00000000-0006-0000-0100-000015000000}">
      <text>
        <r>
          <rPr>
            <sz val="10"/>
            <rFont val="Arial"/>
            <family val="2"/>
          </rPr>
          <t>Admin:
Corecție preț material</t>
        </r>
      </text>
    </comment>
    <comment ref="E140" authorId="0" shapeId="0" xr:uid="{00000000-0006-0000-0100-000024000000}">
      <text>
        <r>
          <rPr>
            <sz val="10"/>
            <rFont val="Arial"/>
            <family val="2"/>
          </rPr>
          <t>Admin:
Materiale preț corectat</t>
        </r>
      </text>
    </comment>
    <comment ref="H140" authorId="0" shapeId="0" xr:uid="{00000000-0006-0000-0100-000033000000}">
      <text>
        <r>
          <rPr>
            <sz val="10"/>
            <rFont val="Arial"/>
            <family val="2"/>
          </rPr>
          <t>Admin:
CAM (Contrib. Asig. Munca)</t>
        </r>
      </text>
    </comment>
    <comment ref="J140" authorId="0" shapeId="0" xr:uid="{00000000-0006-0000-0100-000042000000}">
      <text>
        <r>
          <rPr>
            <sz val="10"/>
            <rFont val="Arial"/>
            <family val="2"/>
          </rPr>
          <t>Admin:
Cheltuieli directe</t>
        </r>
      </text>
    </comment>
    <comment ref="K140" authorId="0" shapeId="0" xr:uid="{00000000-0006-0000-0100-000051000000}">
      <text>
        <r>
          <rPr>
            <sz val="10"/>
            <rFont val="Arial"/>
            <family val="2"/>
          </rPr>
          <t>Admin:
Cheltuieli indirecte</t>
        </r>
      </text>
    </comment>
    <comment ref="B156" authorId="0" shapeId="0" xr:uid="{00000000-0006-0000-0100-000007000000}">
      <text>
        <r>
          <rPr>
            <sz val="10"/>
            <rFont val="Arial"/>
            <family val="2"/>
          </rPr>
          <t>Admin:
Materiale preț inițial</t>
        </r>
      </text>
    </comment>
    <comment ref="D156" authorId="0" shapeId="0" xr:uid="{00000000-0006-0000-0100-000016000000}">
      <text>
        <r>
          <rPr>
            <sz val="10"/>
            <rFont val="Arial"/>
            <family val="2"/>
          </rPr>
          <t>Admin:
Corecție preț material</t>
        </r>
      </text>
    </comment>
    <comment ref="E156" authorId="0" shapeId="0" xr:uid="{00000000-0006-0000-0100-000025000000}">
      <text>
        <r>
          <rPr>
            <sz val="10"/>
            <rFont val="Arial"/>
            <family val="2"/>
          </rPr>
          <t>Admin:
Materiale preț corectat</t>
        </r>
      </text>
    </comment>
    <comment ref="H156" authorId="0" shapeId="0" xr:uid="{00000000-0006-0000-0100-000034000000}">
      <text>
        <r>
          <rPr>
            <sz val="10"/>
            <rFont val="Arial"/>
            <family val="2"/>
          </rPr>
          <t>Admin:
CAM (Contrib. Asig. Munca)</t>
        </r>
      </text>
    </comment>
    <comment ref="J156" authorId="0" shapeId="0" xr:uid="{00000000-0006-0000-0100-000043000000}">
      <text>
        <r>
          <rPr>
            <sz val="10"/>
            <rFont val="Arial"/>
            <family val="2"/>
          </rPr>
          <t>Admin:
Cheltuieli directe</t>
        </r>
      </text>
    </comment>
    <comment ref="K156" authorId="0" shapeId="0" xr:uid="{00000000-0006-0000-0100-000052000000}">
      <text>
        <r>
          <rPr>
            <sz val="10"/>
            <rFont val="Arial"/>
            <family val="2"/>
          </rPr>
          <t>Admin:
Cheltuieli indirecte</t>
        </r>
      </text>
    </comment>
    <comment ref="B172" authorId="0" shapeId="0" xr:uid="{00000000-0006-0000-0100-000008000000}">
      <text>
        <r>
          <rPr>
            <sz val="10"/>
            <rFont val="Arial"/>
            <family val="2"/>
          </rPr>
          <t>Admin:
Materiale preț inițial</t>
        </r>
      </text>
    </comment>
    <comment ref="D172" authorId="0" shapeId="0" xr:uid="{00000000-0006-0000-0100-000017000000}">
      <text>
        <r>
          <rPr>
            <sz val="10"/>
            <rFont val="Arial"/>
            <family val="2"/>
          </rPr>
          <t>Admin:
Corecție preț material</t>
        </r>
      </text>
    </comment>
    <comment ref="E172" authorId="0" shapeId="0" xr:uid="{00000000-0006-0000-0100-000026000000}">
      <text>
        <r>
          <rPr>
            <sz val="10"/>
            <rFont val="Arial"/>
            <family val="2"/>
          </rPr>
          <t>Admin:
Materiale preț corectat</t>
        </r>
      </text>
    </comment>
    <comment ref="H172" authorId="0" shapeId="0" xr:uid="{00000000-0006-0000-0100-000035000000}">
      <text>
        <r>
          <rPr>
            <sz val="10"/>
            <rFont val="Arial"/>
            <family val="2"/>
          </rPr>
          <t>Admin:
CAM (Contrib. Asig. Munca)</t>
        </r>
      </text>
    </comment>
    <comment ref="J172" authorId="0" shapeId="0" xr:uid="{00000000-0006-0000-0100-000044000000}">
      <text>
        <r>
          <rPr>
            <sz val="10"/>
            <rFont val="Arial"/>
            <family val="2"/>
          </rPr>
          <t>Admin:
Cheltuieli directe</t>
        </r>
      </text>
    </comment>
    <comment ref="K172" authorId="0" shapeId="0" xr:uid="{00000000-0006-0000-0100-000053000000}">
      <text>
        <r>
          <rPr>
            <sz val="10"/>
            <rFont val="Arial"/>
            <family val="2"/>
          </rPr>
          <t>Admin:
Cheltuieli indirecte</t>
        </r>
      </text>
    </comment>
    <comment ref="B188" authorId="0" shapeId="0" xr:uid="{00000000-0006-0000-0100-000009000000}">
      <text>
        <r>
          <rPr>
            <sz val="10"/>
            <rFont val="Arial"/>
            <family val="2"/>
          </rPr>
          <t>Admin:
Materiale preț inițial</t>
        </r>
      </text>
    </comment>
    <comment ref="D188" authorId="0" shapeId="0" xr:uid="{00000000-0006-0000-0100-000018000000}">
      <text>
        <r>
          <rPr>
            <sz val="10"/>
            <rFont val="Arial"/>
            <family val="2"/>
          </rPr>
          <t>Admin:
Corecție preț material</t>
        </r>
      </text>
    </comment>
    <comment ref="E188" authorId="0" shapeId="0" xr:uid="{00000000-0006-0000-0100-000027000000}">
      <text>
        <r>
          <rPr>
            <sz val="10"/>
            <rFont val="Arial"/>
            <family val="2"/>
          </rPr>
          <t>Admin:
Materiale preț corectat</t>
        </r>
      </text>
    </comment>
    <comment ref="H188" authorId="0" shapeId="0" xr:uid="{00000000-0006-0000-0100-000036000000}">
      <text>
        <r>
          <rPr>
            <sz val="10"/>
            <rFont val="Arial"/>
            <family val="2"/>
          </rPr>
          <t>Admin:
CAM (Contrib. Asig. Munca)</t>
        </r>
      </text>
    </comment>
    <comment ref="J188" authorId="0" shapeId="0" xr:uid="{00000000-0006-0000-0100-000045000000}">
      <text>
        <r>
          <rPr>
            <sz val="10"/>
            <rFont val="Arial"/>
            <family val="2"/>
          </rPr>
          <t>Admin:
Cheltuieli directe</t>
        </r>
      </text>
    </comment>
    <comment ref="K188" authorId="0" shapeId="0" xr:uid="{00000000-0006-0000-0100-000054000000}">
      <text>
        <r>
          <rPr>
            <sz val="10"/>
            <rFont val="Arial"/>
            <family val="2"/>
          </rPr>
          <t>Admin:
Cheltuieli indirecte</t>
        </r>
      </text>
    </comment>
    <comment ref="B204" authorId="0" shapeId="0" xr:uid="{00000000-0006-0000-0100-00000A000000}">
      <text>
        <r>
          <rPr>
            <sz val="10"/>
            <rFont val="Arial"/>
            <family val="2"/>
          </rPr>
          <t>Admin:
Materiale preț inițial</t>
        </r>
      </text>
    </comment>
    <comment ref="D204" authorId="0" shapeId="0" xr:uid="{00000000-0006-0000-0100-000019000000}">
      <text>
        <r>
          <rPr>
            <sz val="10"/>
            <rFont val="Arial"/>
            <family val="2"/>
          </rPr>
          <t>Admin:
Corecție preț material</t>
        </r>
      </text>
    </comment>
    <comment ref="E204" authorId="0" shapeId="0" xr:uid="{00000000-0006-0000-0100-000028000000}">
      <text>
        <r>
          <rPr>
            <sz val="10"/>
            <rFont val="Arial"/>
            <family val="2"/>
          </rPr>
          <t>Admin:
Materiale preț corectat</t>
        </r>
      </text>
    </comment>
    <comment ref="H204" authorId="0" shapeId="0" xr:uid="{00000000-0006-0000-0100-000037000000}">
      <text>
        <r>
          <rPr>
            <sz val="10"/>
            <rFont val="Arial"/>
            <family val="2"/>
          </rPr>
          <t>Admin:
CAM (Contrib. Asig. Munca)</t>
        </r>
      </text>
    </comment>
    <comment ref="J204" authorId="0" shapeId="0" xr:uid="{00000000-0006-0000-0100-000046000000}">
      <text>
        <r>
          <rPr>
            <sz val="10"/>
            <rFont val="Arial"/>
            <family val="2"/>
          </rPr>
          <t>Admin:
Cheltuieli directe</t>
        </r>
      </text>
    </comment>
    <comment ref="K204" authorId="0" shapeId="0" xr:uid="{00000000-0006-0000-0100-000055000000}">
      <text>
        <r>
          <rPr>
            <sz val="10"/>
            <rFont val="Arial"/>
            <family val="2"/>
          </rPr>
          <t>Admin:
Cheltuieli indirecte</t>
        </r>
      </text>
    </comment>
    <comment ref="B220" authorId="0" shapeId="0" xr:uid="{00000000-0006-0000-0100-00000B000000}">
      <text>
        <r>
          <rPr>
            <sz val="10"/>
            <rFont val="Arial"/>
            <family val="2"/>
          </rPr>
          <t>Admin:
Materiale preț inițial</t>
        </r>
      </text>
    </comment>
    <comment ref="D220" authorId="0" shapeId="0" xr:uid="{00000000-0006-0000-0100-00001A000000}">
      <text>
        <r>
          <rPr>
            <sz val="10"/>
            <rFont val="Arial"/>
            <family val="2"/>
          </rPr>
          <t>Admin:
Corecție preț material</t>
        </r>
      </text>
    </comment>
    <comment ref="E220" authorId="0" shapeId="0" xr:uid="{00000000-0006-0000-0100-000029000000}">
      <text>
        <r>
          <rPr>
            <sz val="10"/>
            <rFont val="Arial"/>
            <family val="2"/>
          </rPr>
          <t>Admin:
Materiale preț corectat</t>
        </r>
      </text>
    </comment>
    <comment ref="H220" authorId="0" shapeId="0" xr:uid="{00000000-0006-0000-0100-000038000000}">
      <text>
        <r>
          <rPr>
            <sz val="10"/>
            <rFont val="Arial"/>
            <family val="2"/>
          </rPr>
          <t>Admin:
CAM (Contrib. Asig. Munca)</t>
        </r>
      </text>
    </comment>
    <comment ref="J220" authorId="0" shapeId="0" xr:uid="{00000000-0006-0000-0100-000047000000}">
      <text>
        <r>
          <rPr>
            <sz val="10"/>
            <rFont val="Arial"/>
            <family val="2"/>
          </rPr>
          <t>Admin:
Cheltuieli directe</t>
        </r>
      </text>
    </comment>
    <comment ref="K220" authorId="0" shapeId="0" xr:uid="{00000000-0006-0000-0100-000056000000}">
      <text>
        <r>
          <rPr>
            <sz val="10"/>
            <rFont val="Arial"/>
            <family val="2"/>
          </rPr>
          <t>Admin:
Cheltuieli indirecte</t>
        </r>
      </text>
    </comment>
    <comment ref="B236" authorId="0" shapeId="0" xr:uid="{00000000-0006-0000-0100-00000C000000}">
      <text>
        <r>
          <rPr>
            <sz val="10"/>
            <rFont val="Arial"/>
            <family val="2"/>
          </rPr>
          <t>Admin:
Materiale preț inițial</t>
        </r>
      </text>
    </comment>
    <comment ref="D236" authorId="0" shapeId="0" xr:uid="{00000000-0006-0000-0100-00001B000000}">
      <text>
        <r>
          <rPr>
            <sz val="10"/>
            <rFont val="Arial"/>
            <family val="2"/>
          </rPr>
          <t>Admin:
Corecție preț material</t>
        </r>
      </text>
    </comment>
    <comment ref="E236" authorId="0" shapeId="0" xr:uid="{00000000-0006-0000-0100-00002A000000}">
      <text>
        <r>
          <rPr>
            <sz val="10"/>
            <rFont val="Arial"/>
            <family val="2"/>
          </rPr>
          <t>Admin:
Materiale preț corectat</t>
        </r>
      </text>
    </comment>
    <comment ref="H236" authorId="0" shapeId="0" xr:uid="{00000000-0006-0000-0100-000039000000}">
      <text>
        <r>
          <rPr>
            <sz val="10"/>
            <rFont val="Arial"/>
            <family val="2"/>
          </rPr>
          <t>Admin:
CAM (Contrib. Asig. Munca)</t>
        </r>
      </text>
    </comment>
    <comment ref="J236" authorId="0" shapeId="0" xr:uid="{00000000-0006-0000-0100-000048000000}">
      <text>
        <r>
          <rPr>
            <sz val="10"/>
            <rFont val="Arial"/>
            <family val="2"/>
          </rPr>
          <t>Admin:
Cheltuieli directe</t>
        </r>
      </text>
    </comment>
    <comment ref="K236" authorId="0" shapeId="0" xr:uid="{00000000-0006-0000-0100-000057000000}">
      <text>
        <r>
          <rPr>
            <sz val="10"/>
            <rFont val="Arial"/>
            <family val="2"/>
          </rPr>
          <t>Admin:
Cheltuieli indirecte</t>
        </r>
      </text>
    </comment>
    <comment ref="B252" authorId="0" shapeId="0" xr:uid="{00000000-0006-0000-0100-00000D000000}">
      <text>
        <r>
          <rPr>
            <sz val="10"/>
            <rFont val="Arial"/>
            <family val="2"/>
          </rPr>
          <t>Admin:
Materiale preț inițial</t>
        </r>
      </text>
    </comment>
    <comment ref="D252" authorId="0" shapeId="0" xr:uid="{00000000-0006-0000-0100-00001C000000}">
      <text>
        <r>
          <rPr>
            <sz val="10"/>
            <rFont val="Arial"/>
            <family val="2"/>
          </rPr>
          <t>Admin:
Corecție preț material</t>
        </r>
      </text>
    </comment>
    <comment ref="E252" authorId="0" shapeId="0" xr:uid="{00000000-0006-0000-0100-00002B000000}">
      <text>
        <r>
          <rPr>
            <sz val="10"/>
            <rFont val="Arial"/>
            <family val="2"/>
          </rPr>
          <t>Admin:
Materiale preț corectat</t>
        </r>
      </text>
    </comment>
    <comment ref="H252" authorId="0" shapeId="0" xr:uid="{00000000-0006-0000-0100-00003A000000}">
      <text>
        <r>
          <rPr>
            <sz val="10"/>
            <rFont val="Arial"/>
            <family val="2"/>
          </rPr>
          <t>Admin:
CAM (Contrib. Asig. Munca)</t>
        </r>
      </text>
    </comment>
    <comment ref="J252" authorId="0" shapeId="0" xr:uid="{00000000-0006-0000-0100-000049000000}">
      <text>
        <r>
          <rPr>
            <sz val="10"/>
            <rFont val="Arial"/>
            <family val="2"/>
          </rPr>
          <t>Admin:
Cheltuieli directe</t>
        </r>
      </text>
    </comment>
    <comment ref="K252" authorId="0" shapeId="0" xr:uid="{00000000-0006-0000-0100-000058000000}">
      <text>
        <r>
          <rPr>
            <sz val="10"/>
            <rFont val="Arial"/>
            <family val="2"/>
          </rPr>
          <t>Admin:
Cheltuieli indirecte</t>
        </r>
      </text>
    </comment>
    <comment ref="B268" authorId="0" shapeId="0" xr:uid="{00000000-0006-0000-0100-00000E000000}">
      <text>
        <r>
          <rPr>
            <sz val="10"/>
            <rFont val="Arial"/>
            <family val="2"/>
          </rPr>
          <t>Admin:
Materiale preț inițial</t>
        </r>
      </text>
    </comment>
    <comment ref="D268" authorId="0" shapeId="0" xr:uid="{00000000-0006-0000-0100-00001D000000}">
      <text>
        <r>
          <rPr>
            <sz val="10"/>
            <rFont val="Arial"/>
            <family val="2"/>
          </rPr>
          <t>Admin:
Corecție preț material</t>
        </r>
      </text>
    </comment>
    <comment ref="E268" authorId="0" shapeId="0" xr:uid="{00000000-0006-0000-0100-00002C000000}">
      <text>
        <r>
          <rPr>
            <sz val="10"/>
            <rFont val="Arial"/>
            <family val="2"/>
          </rPr>
          <t>Admin:
Materiale preț corectat</t>
        </r>
      </text>
    </comment>
    <comment ref="H268" authorId="0" shapeId="0" xr:uid="{00000000-0006-0000-0100-00003B000000}">
      <text>
        <r>
          <rPr>
            <sz val="10"/>
            <rFont val="Arial"/>
            <family val="2"/>
          </rPr>
          <t>Admin:
CAM (Contrib. Asig. Munca)</t>
        </r>
      </text>
    </comment>
    <comment ref="J268" authorId="0" shapeId="0" xr:uid="{00000000-0006-0000-0100-00004A000000}">
      <text>
        <r>
          <rPr>
            <sz val="10"/>
            <rFont val="Arial"/>
            <family val="2"/>
          </rPr>
          <t>Admin:
Cheltuieli directe</t>
        </r>
      </text>
    </comment>
    <comment ref="K268" authorId="0" shapeId="0" xr:uid="{00000000-0006-0000-0100-000059000000}">
      <text>
        <r>
          <rPr>
            <sz val="10"/>
            <rFont val="Arial"/>
            <family val="2"/>
          </rPr>
          <t>Admin:
Cheltuieli indirecte</t>
        </r>
      </text>
    </comment>
    <comment ref="B284" authorId="0" shapeId="0" xr:uid="{00000000-0006-0000-0100-00000F000000}">
      <text>
        <r>
          <rPr>
            <sz val="10"/>
            <rFont val="Arial"/>
            <family val="2"/>
          </rPr>
          <t>Admin:
Materiale preț inițial</t>
        </r>
      </text>
    </comment>
    <comment ref="D284" authorId="0" shapeId="0" xr:uid="{00000000-0006-0000-0100-00001E000000}">
      <text>
        <r>
          <rPr>
            <sz val="10"/>
            <rFont val="Arial"/>
            <family val="2"/>
          </rPr>
          <t>Admin:
Corecție preț material</t>
        </r>
      </text>
    </comment>
    <comment ref="E284" authorId="0" shapeId="0" xr:uid="{00000000-0006-0000-0100-00002D000000}">
      <text>
        <r>
          <rPr>
            <sz val="10"/>
            <rFont val="Arial"/>
            <family val="2"/>
          </rPr>
          <t>Admin:
Materiale preț corectat</t>
        </r>
      </text>
    </comment>
    <comment ref="H284" authorId="0" shapeId="0" xr:uid="{00000000-0006-0000-0100-00003C000000}">
      <text>
        <r>
          <rPr>
            <sz val="10"/>
            <rFont val="Arial"/>
            <family val="2"/>
          </rPr>
          <t>Admin:
CAM (Contrib. Asig. Munca)</t>
        </r>
      </text>
    </comment>
    <comment ref="J284" authorId="0" shapeId="0" xr:uid="{00000000-0006-0000-0100-00004B000000}">
      <text>
        <r>
          <rPr>
            <sz val="10"/>
            <rFont val="Arial"/>
            <family val="2"/>
          </rPr>
          <t>Admin:
Cheltuieli directe</t>
        </r>
      </text>
    </comment>
    <comment ref="K284" authorId="0" shapeId="0" xr:uid="{00000000-0006-0000-0100-00005A000000}">
      <text>
        <r>
          <rPr>
            <sz val="10"/>
            <rFont val="Arial"/>
            <family val="2"/>
          </rPr>
          <t>Admin:
Cheltuieli indirecte</t>
        </r>
      </text>
    </comment>
  </commentList>
</comments>
</file>

<file path=xl/sharedStrings.xml><?xml version="1.0" encoding="utf-8"?>
<sst xmlns="http://schemas.openxmlformats.org/spreadsheetml/2006/main" count="1152" uniqueCount="260">
  <si>
    <t xml:space="preserve">  PROGRAM CALCUL OFERTE  –  Calcul Cost Material</t>
  </si>
  <si>
    <t xml:space="preserve">  ■ Verde = câmpuri editabile (input)     ■ Galben = dropdown     ■ Gri = valori calculate     ■ Portocaliu = prețuri finale</t>
  </si>
  <si>
    <t>Nr.
Crt</t>
  </si>
  <si>
    <t>PRJ</t>
  </si>
  <si>
    <t>Client</t>
  </si>
  <si>
    <t>OEM</t>
  </si>
  <si>
    <t>Proiect</t>
  </si>
  <si>
    <t>SOP</t>
  </si>
  <si>
    <t>Denumire</t>
  </si>
  <si>
    <t>Set
(DROPDOWN)</t>
  </si>
  <si>
    <t>Nr. Piese/
Set (buc)</t>
  </si>
  <si>
    <t>EYV (buc)</t>
  </si>
  <si>
    <t>MOQ (buc)</t>
  </si>
  <si>
    <t>Utilaj Folosit
(DROPDOWN)</t>
  </si>
  <si>
    <t>Lungime Piesă
(mm)</t>
  </si>
  <si>
    <t>Lățime Piesă
(mm)</t>
  </si>
  <si>
    <t>Grosime
(mm)</t>
  </si>
  <si>
    <t>Avans (mm)</t>
  </si>
  <si>
    <t>Nr. Piese/
Avans (buc)</t>
  </si>
  <si>
    <t>Gap între
Piese (mm)</t>
  </si>
  <si>
    <t>Gap Margine
(mm)</t>
  </si>
  <si>
    <t>Suprafață EYV
(m²)</t>
  </si>
  <si>
    <t>Volum EYV
(m³)</t>
  </si>
  <si>
    <t>Factor
Rotunjire</t>
  </si>
  <si>
    <t>Lățime Utilă
Rolă (mm)</t>
  </si>
  <si>
    <t>Material
MDE2</t>
  </si>
  <si>
    <t>Material
Folosit</t>
  </si>
  <si>
    <t>Lățime Log
(mm)</t>
  </si>
  <si>
    <t>Lungime Log
(m)</t>
  </si>
  <si>
    <t>Preț/m²
(€)</t>
  </si>
  <si>
    <t>Preț/Log
(€)</t>
  </si>
  <si>
    <t>Nr. Role/
Log (buc)</t>
  </si>
  <si>
    <t>Pierdere
Lățime Log (mm)</t>
  </si>
  <si>
    <t>Nr. Piese/
Rolă (buc)</t>
  </si>
  <si>
    <t>Nr. Piese/
Log (buc)</t>
  </si>
  <si>
    <t>Cost/Piesă
(€)</t>
  </si>
  <si>
    <t>Cost/Set
(€)</t>
  </si>
  <si>
    <t>Selecție FM
(DROPDOWN)</t>
  </si>
  <si>
    <t>FM</t>
  </si>
  <si>
    <t>Preț/Piesă
(€)</t>
  </si>
  <si>
    <t>Preț/Set
(€)</t>
  </si>
  <si>
    <t>NPD
(€)</t>
  </si>
  <si>
    <t>Productivitate
Anuală (%)</t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</si>
  <si>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</si>
  <si>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</si>
  <si>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</si>
  <si>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</si>
  <si>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</si>
  <si>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</si>
  <si>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</si>
  <si>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</si>
  <si>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</si>
  <si>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</si>
  <si>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</si>
  <si>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</si>
  <si>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</si>
  <si>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</t>
  </si>
  <si>
    <t>(15)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</si>
  <si>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</si>
  <si>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</si>
  <si>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</si>
  <si>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</si>
  <si>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</si>
  <si>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</si>
  <si>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</si>
  <si>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</si>
  <si>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</si>
  <si>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</si>
  <si>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</si>
  <si>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</si>
  <si>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</si>
  <si>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(29)</t>
  </si>
  <si>
    <t>(30)</t>
  </si>
  <si>
    <t>(31)</t>
  </si>
  <si>
    <t>(32)</t>
  </si>
  <si>
    <t>(33)</t>
  </si>
  <si>
    <t>(34)</t>
  </si>
  <si>
    <t>(35)</t>
  </si>
  <si>
    <t>(36)</t>
  </si>
  <si>
    <t>(37)</t>
  </si>
  <si>
    <t>(38)</t>
  </si>
  <si>
    <t>(39)</t>
  </si>
  <si>
    <t>(40)</t>
  </si>
  <si>
    <t>(41)</t>
  </si>
  <si>
    <t>NU</t>
  </si>
  <si>
    <t>F400-1</t>
  </si>
  <si>
    <t>Role</t>
  </si>
  <si>
    <t xml:space="preserve">  TOTAL / MEDII</t>
  </si>
  <si>
    <t xml:space="preserve">  Notă: Celulele portocalii (Preț/Piesă, Preț/Set) sunt valorile finale de ofertare. FM se preia din tabelul de referință extern.</t>
  </si>
  <si>
    <t xml:space="preserve">  REȚETĂ PIESĂ  –  Calcul Cost de Producție</t>
  </si>
  <si>
    <t>▶  ARTICOL 1</t>
  </si>
  <si>
    <t>Cod:</t>
  </si>
  <si>
    <t>ART01</t>
  </si>
  <si>
    <t>Denumire:</t>
  </si>
  <si>
    <t>Articol 1</t>
  </si>
  <si>
    <t>CPM
[%]</t>
  </si>
  <si>
    <t>CAM
[%]</t>
  </si>
  <si>
    <t>CI
[%]</t>
  </si>
  <si>
    <t>Profit
[%]</t>
  </si>
  <si>
    <t>Op.1
[€/h]</t>
  </si>
  <si>
    <t>Op.2
[€/h]</t>
  </si>
  <si>
    <t>Op.3
[€/h]</t>
  </si>
  <si>
    <t>MOQ
[buc]</t>
  </si>
  <si>
    <t>SCRAP
[%]</t>
  </si>
  <si>
    <t>Transport
[€/MOQ]</t>
  </si>
  <si>
    <t>Energie
[€/kWh]</t>
  </si>
  <si>
    <t>Grad
Dif(1/2/3)</t>
  </si>
  <si>
    <t>TimpSet
[min]</t>
  </si>
  <si>
    <t>Utilaj 1</t>
  </si>
  <si>
    <t>Utilaj 2</t>
  </si>
  <si>
    <t>Utilaj 3</t>
  </si>
  <si>
    <t>Utilaj 4</t>
  </si>
  <si>
    <t>Utilaj 5</t>
  </si>
  <si>
    <t>GD 301</t>
  </si>
  <si>
    <t>Empty</t>
  </si>
  <si>
    <t>Nr.</t>
  </si>
  <si>
    <t>Denumire Material</t>
  </si>
  <si>
    <t>Cantitate</t>
  </si>
  <si>
    <t>UM</t>
  </si>
  <si>
    <t>Preț [€/UM]</t>
  </si>
  <si>
    <t>Valoare [€/p]</t>
  </si>
  <si>
    <t>buc</t>
  </si>
  <si>
    <t>Material 2</t>
  </si>
  <si>
    <t>Material 3</t>
  </si>
  <si>
    <t>Material 4</t>
  </si>
  <si>
    <t>Material 5</t>
  </si>
  <si>
    <t>Dezvoltare Tool (valoare/4×MOQ)</t>
  </si>
  <si>
    <t>TOTAL MATERIALE (MPI)</t>
  </si>
  <si>
    <t>MPI
[€/p]</t>
  </si>
  <si>
    <t>Mat+SCRAP
[€/p]</t>
  </si>
  <si>
    <t>CPM
[€/p]</t>
  </si>
  <si>
    <t>MatTotal
[€/p]</t>
  </si>
  <si>
    <t>Utilaje
[€/p]</t>
  </si>
  <si>
    <t>Manoperă
[€/p]</t>
  </si>
  <si>
    <t>CAM
[€/p]</t>
  </si>
  <si>
    <t>Transport
[€/p]</t>
  </si>
  <si>
    <t>CD
[€/p]</t>
  </si>
  <si>
    <t>CI
[€/p]</t>
  </si>
  <si>
    <t>CostProd
[€/p]</t>
  </si>
  <si>
    <t>Profit
[€/p]</t>
  </si>
  <si>
    <t>TotalFărăTVA
[€/p]</t>
  </si>
  <si>
    <t>x1000</t>
  </si>
  <si>
    <t>Pret Met Veche</t>
  </si>
  <si>
    <t>▶  ARTICOL 2</t>
  </si>
  <si>
    <t>ART02</t>
  </si>
  <si>
    <t>Articol 2</t>
  </si>
  <si>
    <t>▶  ARTICOL 3</t>
  </si>
  <si>
    <t>ART03</t>
  </si>
  <si>
    <t>Articol 3</t>
  </si>
  <si>
    <t>▶  ARTICOL 4</t>
  </si>
  <si>
    <t>ART04</t>
  </si>
  <si>
    <t>Articol 4</t>
  </si>
  <si>
    <t>▶  ARTICOL 5</t>
  </si>
  <si>
    <t>ART05</t>
  </si>
  <si>
    <t>Articol 5</t>
  </si>
  <si>
    <t>▶  ARTICOL 6</t>
  </si>
  <si>
    <t>ART06</t>
  </si>
  <si>
    <t>Articol 6</t>
  </si>
  <si>
    <t>▶  ARTICOL 7</t>
  </si>
  <si>
    <t>KT-MQ-1800</t>
  </si>
  <si>
    <t>▶  ARTICOL 8</t>
  </si>
  <si>
    <t>GD X1</t>
  </si>
  <si>
    <t>▶  ARTICOL 9</t>
  </si>
  <si>
    <t>ART09</t>
  </si>
  <si>
    <t>Articol 9</t>
  </si>
  <si>
    <t>▶  ARTICOL 10</t>
  </si>
  <si>
    <t>ART10</t>
  </si>
  <si>
    <t>Articol 10</t>
  </si>
  <si>
    <t>▶  ARTICOL 11</t>
  </si>
  <si>
    <t>ART11</t>
  </si>
  <si>
    <t>Articol 11</t>
  </si>
  <si>
    <t>▶  ARTICOL 12</t>
  </si>
  <si>
    <t>ART12</t>
  </si>
  <si>
    <t>Articol 12</t>
  </si>
  <si>
    <t>▶  ARTICOL 13</t>
  </si>
  <si>
    <t>ART13</t>
  </si>
  <si>
    <t>Articol 13</t>
  </si>
  <si>
    <t>▶  ARTICOL 14</t>
  </si>
  <si>
    <t>ART14</t>
  </si>
  <si>
    <t>Articol 14</t>
  </si>
  <si>
    <t>▶  ARTICOL 15</t>
  </si>
  <si>
    <t>ART15</t>
  </si>
  <si>
    <t>Articol 15</t>
  </si>
  <si>
    <t>GD RO 250</t>
  </si>
  <si>
    <t xml:space="preserve">  CENTRALIZATOR OFERTE  –  Calcul Cost Producție</t>
  </si>
  <si>
    <t xml:space="preserve">  Adăugați articole în rândurile de mai jos. Completați datele în coloanel verzi.</t>
  </si>
  <si>
    <t>x</t>
  </si>
  <si>
    <t>Cod
Articol</t>
  </si>
  <si>
    <t>Denumire Articol</t>
  </si>
  <si>
    <t>Utilaj
Principal</t>
  </si>
  <si>
    <t>MPI
[€/piesă]</t>
  </si>
  <si>
    <t>Cost
Productie
[€/piesă]</t>
  </si>
  <si>
    <t>Total fără
TVA [€/piesă]</t>
  </si>
  <si>
    <t>Pret Metoda Veche</t>
  </si>
  <si>
    <t>→ Deschide RETETA pentru calcul detaliat pe un singur articol</t>
  </si>
  <si>
    <t xml:space="preserve">  TABEL UTILAJE  –  Costuri și Parametri per Utilaj</t>
  </si>
  <si>
    <t>Utilaj</t>
  </si>
  <si>
    <t>Cost util./s
[€/s]</t>
  </si>
  <si>
    <t>Cost util./piesă
[€/piesă]</t>
  </si>
  <si>
    <t>Putere inst.
[kW]</t>
  </si>
  <si>
    <t>Op.Tip1</t>
  </si>
  <si>
    <t>Op.Tip2</t>
  </si>
  <si>
    <t>Op.Tip3</t>
  </si>
  <si>
    <t>Timp/piesă
[s]</t>
  </si>
  <si>
    <t>AS 1300</t>
  </si>
  <si>
    <t>CQT 500-1</t>
  </si>
  <si>
    <t>CQT 500-2</t>
  </si>
  <si>
    <t>CQT 500-3</t>
  </si>
  <si>
    <t>CQT 700</t>
  </si>
  <si>
    <t>DTH 620</t>
  </si>
  <si>
    <t>F400-2</t>
  </si>
  <si>
    <t>F400-3</t>
  </si>
  <si>
    <t>F400-4</t>
  </si>
  <si>
    <t>FE-95</t>
  </si>
  <si>
    <t>FE-95-2</t>
  </si>
  <si>
    <t>GD 151 EL</t>
  </si>
  <si>
    <t>GD 301 EL - 1</t>
  </si>
  <si>
    <t>GD 301 EL - 2</t>
  </si>
  <si>
    <t>GD 654</t>
  </si>
  <si>
    <t>GD RO 250 EL</t>
  </si>
  <si>
    <t>GD RO 350 LASER</t>
  </si>
  <si>
    <t>GD RO 350-1</t>
  </si>
  <si>
    <t>GD RO 350-2</t>
  </si>
  <si>
    <t>GD RO 350-3</t>
  </si>
  <si>
    <t>GD RO 350-4</t>
  </si>
  <si>
    <t>GD-FFC</t>
  </si>
  <si>
    <t>KUNTAI KT-QS</t>
  </si>
  <si>
    <t>MQ 1250</t>
  </si>
  <si>
    <t>PRINT 6330-1</t>
  </si>
  <si>
    <t>RUBIK</t>
  </si>
  <si>
    <t>ZUND</t>
  </si>
  <si>
    <t>ZUND G3</t>
  </si>
  <si>
    <t>Manufactura</t>
  </si>
  <si>
    <t xml:space="preserve">  TABEL DE REFERINȚĂ  –  Utilaje / DA-NU / Cifre Ceiling / Factori FM</t>
  </si>
  <si>
    <t>UTILAJE</t>
  </si>
  <si>
    <t>DA / NU</t>
  </si>
  <si>
    <t>CIFRE CEILING</t>
  </si>
  <si>
    <t>CAZ FM</t>
  </si>
  <si>
    <t>MULTIPL. FM</t>
  </si>
  <si>
    <t>DA</t>
  </si>
  <si>
    <t>DeLonghi RO</t>
  </si>
  <si>
    <t>DeLonghi IT</t>
  </si>
  <si>
    <t>Auto</t>
  </si>
  <si>
    <t>Auto Export</t>
  </si>
  <si>
    <t>NON Auto</t>
  </si>
  <si>
    <t>&lt;10€/1000 Buc</t>
  </si>
  <si>
    <t>N/A</t>
  </si>
  <si>
    <t>Custom</t>
  </si>
  <si>
    <t>Custom 2</t>
  </si>
  <si>
    <t xml:space="preserve">  Tabelul F:G (F4:G11) este folosit
  de VLOOKUP din coloana AK →</t>
  </si>
  <si>
    <t>DIAPLAST PRODUCTION SRL</t>
  </si>
  <si>
    <t>106393373C-FA01 Tiefton hi li-re LH</t>
  </si>
  <si>
    <t xml:space="preserve">HDF B0423 200 </t>
  </si>
  <si>
    <t>Roll 10mmx100m</t>
  </si>
  <si>
    <t>5015 E</t>
  </si>
  <si>
    <t>PES 200</t>
  </si>
  <si>
    <t>PES 201</t>
  </si>
  <si>
    <t>PES 202</t>
  </si>
  <si>
    <t>PES 203</t>
  </si>
  <si>
    <t>MOQ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</si>
</sst>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\ [$€-1]"/>
    <numFmt numFmtId="165" formatCode="#,##0.000\ [$€-1]"/>
    <numFmt numFmtId="166" formatCode="#,##0.00000\ [$€-1]"/>
    <numFmt numFmtId="167" formatCode="#,##0.0000\ [$€-1]"/>
    <numFmt numFmtId="168" formatCode="0.0%"/>
    <numFmt numFmtId="169" formatCode="#,##0.000"/>
    <numFmt numFmtId="170" formatCode="#,##0.0000"/>
    <numFmt numFmtId="171" formatCode="_-* #,##0.00\ [$€-1]_-;\-* #,##0.00\ [$€-1]_-;_-* \-??\ [$€-1]_-;_-@_-"/>
    <numFmt numFmtId="172" formatCode="#,##0.0000000"/>
    <numFmt numFmtId="173" formatCode="0.000000000"/>
  </numFmts>
  <fonts count="43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3"/>
      <color rgb="FFFFFFFF"/>
      <name val="Arial"/>
      <family val="2"/>
      <charset val="1"/>
    </font>
    <font>
      <i/>
      <sz val="8"/>
      <color rgb="FF555555"/>
      <name val="Arial"/>
      <family val="2"/>
      <charset val="1"/>
    </font>
    <font>
      <b/>
      <sz val="8"/>
      <color rgb="FFFFFFFF"/>
      <name val="Arial"/>
      <family val="2"/>
      <charset val="1"/>
    </font>
    <font>
      <sz val="7"/>
      <color rgb="FF888888"/>
      <name val="Arial"/>
      <family val="2"/>
      <charset val="1"/>
    </font>
    <font>
      <sz val="9"/>
      <color rgb="FF000000"/>
      <name val="Arial"/>
      <family val="2"/>
      <charset val="1"/>
    </font>
    <font>
      <sz val="9"/>
      <name val="Calibri"/>
      <family val="2"/>
      <charset val="1"/>
    </font>
    <font>
      <sz val="11"/>
      <color rgb="FF006100"/>
      <name val="Calibri"/>
      <family val="2"/>
      <charset val="238"/>
    </font>
    <font>
      <b/>
      <sz val="8"/>
      <name val="Century Gothic"/>
      <family val="2"/>
      <charset val="1"/>
    </font>
    <font>
      <b/>
      <sz val="9"/>
      <color rgb="FF1F3864"/>
      <name val="Arial"/>
      <family val="2"/>
      <charset val="1"/>
    </font>
    <font>
      <b/>
      <sz val="8"/>
      <color rgb="FF006100"/>
      <name val="Century Gothic"/>
      <family val="2"/>
      <charset val="1"/>
    </font>
    <font>
      <b/>
      <sz val="9"/>
      <color rgb="FF000000"/>
      <name val="Arial"/>
      <family val="2"/>
      <charset val="1"/>
    </font>
    <font>
      <b/>
      <sz val="9"/>
      <color rgb="FFFFFFFF"/>
      <name val="Arial"/>
      <family val="2"/>
      <charset val="1"/>
    </font>
    <font>
      <i/>
      <sz val="8"/>
      <color rgb="FF888888"/>
      <name val="Arial"/>
      <family val="2"/>
      <charset val="1"/>
    </font>
    <font>
      <i/>
      <sz val="8"/>
      <color rgb="FF7F4C00"/>
      <name val="Arial"/>
      <family val="2"/>
      <charset val="1"/>
    </font>
    <font>
      <b/>
      <sz val="10"/>
      <color rgb="FFFFC000"/>
      <name val="Arial"/>
      <family val="2"/>
      <charset val="1"/>
    </font>
    <font>
      <b/>
      <sz val="10"/>
      <color rgb="FFFFFFFF"/>
      <name val="Arial"/>
      <family val="2"/>
      <charset val="1"/>
    </font>
    <font>
      <sz val="9"/>
      <color rgb="FF0000FF"/>
      <name val="Arial"/>
      <family val="2"/>
      <charset val="1"/>
    </font>
    <font>
      <b/>
      <sz val="9"/>
      <color rgb="FF0000FF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sz val="9"/>
      <color theme="9" tint="-0.249977111117893"/>
      <name val="Arial"/>
      <family val="2"/>
      <charset val="1"/>
    </font>
    <font>
      <i/>
      <sz val="9"/>
      <name val="Arial"/>
      <family val="2"/>
      <charset val="1"/>
    </font>
    <font>
      <b/>
      <sz val="9"/>
      <color rgb="FFFF0000"/>
      <name val="Arial"/>
      <family val="2"/>
      <charset val="1"/>
    </font>
    <font>
      <b/>
      <sz val="14"/>
      <color rgb="FFFFFFFF"/>
      <name val="Arial"/>
      <family val="2"/>
      <charset val="1"/>
    </font>
    <font>
      <i/>
      <sz val="9"/>
      <color rgb="FF555555"/>
      <name val="Arial"/>
      <family val="2"/>
      <charset val="1"/>
    </font>
    <font>
      <sz val="11"/>
      <color theme="0"/>
      <name val="Calibri"/>
      <family val="2"/>
      <charset val="1"/>
    </font>
    <font>
      <b/>
      <sz val="9"/>
      <color rgb="FF2F5496"/>
      <name val="Arial"/>
      <family val="2"/>
      <charset val="1"/>
    </font>
    <font>
      <u/>
      <sz val="11"/>
      <color theme="10"/>
      <name val="Calibri"/>
      <family val="2"/>
      <charset val="1"/>
    </font>
    <font>
      <b/>
      <sz val="12"/>
      <color rgb="FFFFFFFF"/>
      <name val="Arial"/>
      <family val="2"/>
      <charset val="1"/>
    </font>
    <font>
      <b/>
      <sz val="11"/>
      <color rgb="FFFA7D00"/>
      <name val="Calibri"/>
      <family val="2"/>
      <charset val="238"/>
    </font>
    <font>
      <b/>
      <sz val="9"/>
      <color rgb="FF375623"/>
      <name val="Arial"/>
      <family val="2"/>
      <charset val="1"/>
    </font>
    <font>
      <b/>
      <sz val="9"/>
      <color rgb="FF833C00"/>
      <name val="Arial"/>
      <family val="2"/>
      <charset val="1"/>
    </font>
    <font>
      <sz val="9"/>
      <color rgb="FFC00000"/>
      <name val="Arial"/>
      <family val="2"/>
      <charset val="1"/>
    </font>
    <font>
      <sz val="9"/>
      <color rgb="FF666666"/>
      <name val="Arial"/>
      <family val="2"/>
      <charset val="1"/>
    </font>
    <font>
      <b/>
      <sz val="9"/>
      <color rgb="FF888888"/>
      <name val="Arial"/>
      <family val="2"/>
      <charset val="1"/>
    </font>
    <font>
      <sz val="9"/>
      <color rgb="FF000000"/>
      <name val="Cambria"/>
      <family val="1"/>
    </font>
    <font>
      <sz val="9"/>
      <name val="Cambria"/>
      <family val="1"/>
    </font>
    <font>
      <b/>
      <sz val="8"/>
      <name val="Cambria"/>
      <family val="1"/>
    </font>
    <font>
      <b/>
      <sz val="9"/>
      <color rgb="FF1F3864"/>
      <name val="Cambria"/>
      <family val="1"/>
    </font>
    <font>
      <sz val="11"/>
      <color theme="1"/>
      <name val="Cambria"/>
      <family val="1"/>
    </font>
    <font>
      <sz val="8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C6EFCE"/>
        <bgColor rgb="FFE2EFDA"/>
      </patternFill>
    </fill>
    <fill>
      <patternFill patternType="solid">
        <fgColor rgb="FFF2F2F2"/>
        <bgColor rgb="FFEBF3FB"/>
      </patternFill>
    </fill>
    <fill>
      <patternFill patternType="solid">
        <fgColor rgb="FF1F3864"/>
        <bgColor rgb="FF1F4E79"/>
      </patternFill>
    </fill>
    <fill>
      <patternFill patternType="solid">
        <fgColor rgb="FFF7F7F7"/>
        <bgColor rgb="FFF9F9F9"/>
      </patternFill>
    </fill>
    <fill>
      <patternFill patternType="solid">
        <fgColor rgb="FF7F6000"/>
        <bgColor rgb="FF7F4C00"/>
      </patternFill>
    </fill>
    <fill>
      <patternFill patternType="solid">
        <fgColor rgb="FF375623"/>
        <bgColor rgb="FF404040"/>
      </patternFill>
    </fill>
    <fill>
      <patternFill patternType="solid">
        <fgColor rgb="FF404040"/>
        <bgColor rgb="FF375623"/>
      </patternFill>
    </fill>
    <fill>
      <patternFill patternType="solid">
        <fgColor rgb="FF833C00"/>
        <bgColor rgb="FF7F4C00"/>
      </patternFill>
    </fill>
    <fill>
      <patternFill patternType="solid">
        <fgColor rgb="FFFFFFFF"/>
        <bgColor rgb="FFF9F9F9"/>
      </patternFill>
    </fill>
    <fill>
      <patternFill patternType="solid">
        <fgColor rgb="FFE2EFDA"/>
        <bgColor rgb="FFEBF1DE"/>
      </patternFill>
    </fill>
    <fill>
      <patternFill patternType="solid">
        <fgColor rgb="FFFFF2CC"/>
        <bgColor rgb="FFFDEADA"/>
      </patternFill>
    </fill>
    <fill>
      <patternFill patternType="solid">
        <fgColor rgb="FFFCE4D6"/>
        <bgColor rgb="FFFFE0E0"/>
      </patternFill>
    </fill>
    <fill>
      <patternFill patternType="solid">
        <fgColor rgb="FF2F5496"/>
        <bgColor rgb="FF1F4E79"/>
      </patternFill>
    </fill>
    <fill>
      <patternFill patternType="solid">
        <fgColor rgb="FFF9F9F9"/>
        <bgColor rgb="FFF7F7F7"/>
      </patternFill>
    </fill>
    <fill>
      <patternFill patternType="solid">
        <fgColor rgb="FF1F4E79"/>
        <bgColor rgb="FF2F5496"/>
      </patternFill>
    </fill>
    <fill>
      <patternFill patternType="solid">
        <fgColor rgb="FFFFFF00"/>
        <bgColor rgb="FFFFC000"/>
      </patternFill>
    </fill>
    <fill>
      <patternFill patternType="solid">
        <fgColor rgb="FFBDD7EE"/>
        <bgColor rgb="FFD0D0D0"/>
      </patternFill>
    </fill>
    <fill>
      <patternFill patternType="solid">
        <fgColor theme="9" tint="0.79989013336588644"/>
        <bgColor rgb="FFFCE4D6"/>
      </patternFill>
    </fill>
    <fill>
      <patternFill patternType="solid">
        <fgColor rgb="FF1F6B75"/>
        <bgColor rgb="FF1F4E79"/>
      </patternFill>
    </fill>
    <fill>
      <patternFill patternType="solid">
        <fgColor rgb="FFD6E4F0"/>
        <bgColor rgb="FFDAEEF3"/>
      </patternFill>
    </fill>
    <fill>
      <patternFill patternType="solid">
        <fgColor theme="8" tint="0.79979857783745845"/>
        <bgColor rgb="FFDAEEF3"/>
      </patternFill>
    </fill>
    <fill>
      <patternFill patternType="solid">
        <fgColor theme="7" tint="0.79979857783745845"/>
        <bgColor rgb="FFE0E0E0"/>
      </patternFill>
    </fill>
    <fill>
      <patternFill patternType="solid">
        <fgColor rgb="FFFFF0F0"/>
        <bgColor rgb="FFFFF0E8"/>
      </patternFill>
    </fill>
    <fill>
      <patternFill patternType="solid">
        <fgColor rgb="FFEBF3FB"/>
        <bgColor rgb="FFF2F2F2"/>
      </patternFill>
    </fill>
    <fill>
      <patternFill patternType="solid">
        <fgColor rgb="FFFFE0E0"/>
        <bgColor rgb="FFFCE4D6"/>
      </patternFill>
    </fill>
    <fill>
      <patternFill patternType="solid">
        <fgColor rgb="FFFFF0E8"/>
        <bgColor rgb="FFFFF0F0"/>
      </patternFill>
    </fill>
    <fill>
      <patternFill patternType="solid">
        <fgColor rgb="FFFFFBE6"/>
        <bgColor rgb="FFF9F9F9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0D0D0"/>
      </left>
      <right style="thin">
        <color rgb="FFD0D0D0"/>
      </right>
      <top style="thin">
        <color rgb="FFE0E0E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medium">
        <color rgb="FF2F5496"/>
      </right>
      <top style="thin">
        <color rgb="FFE0E0E0"/>
      </top>
      <bottom style="thin">
        <color rgb="FFD0D0D0"/>
      </bottom>
      <diagonal/>
    </border>
    <border>
      <left style="thin">
        <color theme="8" tint="0.39988402966399123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FFFFFF"/>
      </left>
      <right style="thin">
        <color rgb="FFFFFFFF"/>
      </right>
      <top/>
      <bottom style="thin">
        <color rgb="FFD0D0D0"/>
      </bottom>
      <diagonal/>
    </border>
    <border>
      <left style="thin">
        <color rgb="FFFFFFFF"/>
      </left>
      <right/>
      <top/>
      <bottom style="thin">
        <color rgb="FFD0D0D0"/>
      </bottom>
      <diagonal/>
    </border>
    <border>
      <left style="thin">
        <color rgb="FFC0D0C0"/>
      </left>
      <right style="thin">
        <color rgb="FFC0D0C0"/>
      </right>
      <top style="thin">
        <color rgb="FFC0D0C0"/>
      </top>
      <bottom style="thin">
        <color rgb="FFC0D0C0"/>
      </bottom>
      <diagonal/>
    </border>
    <border>
      <left style="thin">
        <color rgb="FFD0D0D0"/>
      </left>
      <right style="thin">
        <color rgb="FFD0D0D0"/>
      </right>
      <top style="thin">
        <color rgb="FFFFFFFF"/>
      </top>
      <bottom style="thin">
        <color rgb="FFFFFFFF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D0D0D0"/>
      </bottom>
      <diagonal/>
    </border>
    <border>
      <left style="thin">
        <color rgb="FFD0A070"/>
      </left>
      <right style="thin">
        <color rgb="FFD0A070"/>
      </right>
      <top style="thin">
        <color rgb="FFD0A070"/>
      </top>
      <bottom style="thin">
        <color rgb="FFD0A070"/>
      </bottom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</borders>
  <cellStyleXfs count="4">
    <xf numFmtId="0" fontId="0" fillId="0" borderId="0"/>
    <xf numFmtId="0" fontId="29" fillId="0" borderId="0"/>
    <xf numFmtId="0" fontId="8" fillId="2" borderId="0"/>
    <xf numFmtId="0" fontId="31" fillId="3" borderId="1"/>
  </cellStyleXfs>
  <cellXfs count="165">
    <xf numFmtId="0" fontId="0" fillId="0" borderId="0" xfId="0"/>
    <xf numFmtId="0" fontId="17" fillId="1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10" borderId="3" xfId="0" applyFont="1" applyFill="1" applyBorder="1" applyAlignment="1">
      <alignment horizontal="left" vertical="center"/>
    </xf>
    <xf numFmtId="1" fontId="7" fillId="11" borderId="4" xfId="0" applyNumberFormat="1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left" vertical="center"/>
    </xf>
    <xf numFmtId="0" fontId="7" fillId="11" borderId="4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3" fontId="7" fillId="11" borderId="4" xfId="0" applyNumberFormat="1" applyFont="1" applyFill="1" applyBorder="1" applyAlignment="1">
      <alignment horizontal="center" vertical="center"/>
    </xf>
    <xf numFmtId="4" fontId="6" fillId="3" borderId="3" xfId="0" applyNumberFormat="1" applyFont="1" applyFill="1" applyBorder="1" applyAlignment="1">
      <alignment horizontal="center" vertical="center"/>
    </xf>
    <xf numFmtId="4" fontId="6" fillId="3" borderId="5" xfId="0" applyNumberFormat="1" applyFont="1" applyFill="1" applyBorder="1" applyAlignment="1">
      <alignment horizontal="center" vertical="center"/>
    </xf>
    <xf numFmtId="3" fontId="6" fillId="12" borderId="3" xfId="0" applyNumberFormat="1" applyFont="1" applyFill="1" applyBorder="1" applyAlignment="1">
      <alignment horizontal="center" vertical="center"/>
    </xf>
    <xf numFmtId="3" fontId="6" fillId="3" borderId="5" xfId="0" applyNumberFormat="1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left" vertical="center"/>
    </xf>
    <xf numFmtId="0" fontId="9" fillId="2" borderId="6" xfId="2" applyFont="1" applyBorder="1" applyAlignment="1">
      <alignment horizontal="center" vertical="center" wrapText="1"/>
    </xf>
    <xf numFmtId="164" fontId="6" fillId="3" borderId="3" xfId="0" applyNumberFormat="1" applyFont="1" applyFill="1" applyBorder="1" applyAlignment="1">
      <alignment horizontal="center" vertical="center"/>
    </xf>
    <xf numFmtId="3" fontId="6" fillId="3" borderId="3" xfId="0" applyNumberFormat="1" applyFont="1" applyFill="1" applyBorder="1" applyAlignment="1">
      <alignment horizontal="center" vertical="center"/>
    </xf>
    <xf numFmtId="165" fontId="6" fillId="3" borderId="3" xfId="0" applyNumberFormat="1" applyFont="1" applyFill="1" applyBorder="1" applyAlignment="1">
      <alignment horizontal="center" vertical="center"/>
    </xf>
    <xf numFmtId="165" fontId="6" fillId="3" borderId="5" xfId="0" applyNumberFormat="1" applyFont="1" applyFill="1" applyBorder="1" applyAlignment="1">
      <alignment horizontal="center" vertical="center"/>
    </xf>
    <xf numFmtId="2" fontId="6" fillId="3" borderId="5" xfId="0" applyNumberFormat="1" applyFont="1" applyFill="1" applyBorder="1" applyAlignment="1">
      <alignment horizontal="center" vertical="center"/>
    </xf>
    <xf numFmtId="166" fontId="10" fillId="13" borderId="3" xfId="0" applyNumberFormat="1" applyFont="1" applyFill="1" applyBorder="1" applyAlignment="1">
      <alignment horizontal="center" vertical="center"/>
    </xf>
    <xf numFmtId="165" fontId="10" fillId="13" borderId="5" xfId="0" applyNumberFormat="1" applyFont="1" applyFill="1" applyBorder="1" applyAlignment="1">
      <alignment horizontal="center" vertical="center"/>
    </xf>
    <xf numFmtId="164" fontId="6" fillId="11" borderId="3" xfId="0" applyNumberFormat="1" applyFont="1" applyFill="1" applyBorder="1" applyAlignment="1">
      <alignment horizontal="center" vertical="center"/>
    </xf>
    <xf numFmtId="9" fontId="6" fillId="11" borderId="5" xfId="0" applyNumberFormat="1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left" vertical="center" wrapText="1"/>
    </xf>
    <xf numFmtId="0" fontId="11" fillId="2" borderId="6" xfId="2" applyFont="1" applyBorder="1" applyAlignment="1">
      <alignment horizontal="center" vertical="center" wrapText="1"/>
    </xf>
    <xf numFmtId="167" fontId="10" fillId="13" borderId="3" xfId="0" applyNumberFormat="1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left" vertical="center" wrapText="1"/>
    </xf>
    <xf numFmtId="3" fontId="6" fillId="11" borderId="3" xfId="0" applyNumberFormat="1" applyFont="1" applyFill="1" applyBorder="1" applyAlignment="1">
      <alignment horizontal="center" vertical="center"/>
    </xf>
    <xf numFmtId="3" fontId="6" fillId="11" borderId="5" xfId="0" applyNumberFormat="1" applyFont="1" applyFill="1" applyBorder="1" applyAlignment="1">
      <alignment horizontal="center" vertical="center"/>
    </xf>
    <xf numFmtId="4" fontId="6" fillId="11" borderId="3" xfId="0" applyNumberFormat="1" applyFont="1" applyFill="1" applyBorder="1" applyAlignment="1">
      <alignment horizontal="center" vertical="center"/>
    </xf>
    <xf numFmtId="0" fontId="6" fillId="12" borderId="5" xfId="0" applyFont="1" applyFill="1" applyBorder="1" applyAlignment="1">
      <alignment horizontal="center" vertical="center"/>
    </xf>
    <xf numFmtId="164" fontId="6" fillId="11" borderId="5" xfId="0" applyNumberFormat="1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left" vertical="center"/>
    </xf>
    <xf numFmtId="0" fontId="0" fillId="14" borderId="0" xfId="0" applyFill="1" applyAlignment="1">
      <alignment horizontal="center" vertical="center"/>
    </xf>
    <xf numFmtId="3" fontId="13" fillId="14" borderId="0" xfId="0" applyNumberFormat="1" applyFont="1" applyFill="1" applyAlignment="1">
      <alignment horizontal="center" vertical="center"/>
    </xf>
    <xf numFmtId="165" fontId="13" fillId="14" borderId="0" xfId="0" applyNumberFormat="1" applyFont="1" applyFill="1" applyAlignment="1">
      <alignment horizontal="center" vertical="center"/>
    </xf>
    <xf numFmtId="167" fontId="13" fillId="14" borderId="0" xfId="0" applyNumberFormat="1" applyFont="1" applyFill="1" applyAlignment="1">
      <alignment horizontal="center" vertical="center"/>
    </xf>
    <xf numFmtId="9" fontId="13" fillId="14" borderId="0" xfId="0" applyNumberFormat="1" applyFont="1" applyFill="1" applyAlignment="1">
      <alignment horizontal="center" vertical="center"/>
    </xf>
    <xf numFmtId="167" fontId="0" fillId="0" borderId="0" xfId="0" applyNumberFormat="1"/>
    <xf numFmtId="0" fontId="0" fillId="10" borderId="0" xfId="0" applyFill="1"/>
    <xf numFmtId="0" fontId="0" fillId="0" borderId="0" xfId="0" applyAlignment="1">
      <alignment horizontal="center"/>
    </xf>
    <xf numFmtId="0" fontId="16" fillId="16" borderId="0" xfId="0" applyFont="1" applyFill="1" applyAlignment="1">
      <alignment horizontal="left" vertical="center" wrapText="1"/>
    </xf>
    <xf numFmtId="0" fontId="17" fillId="16" borderId="0" xfId="0" applyFont="1" applyFill="1" applyAlignment="1">
      <alignment horizontal="center" vertical="center" wrapText="1"/>
    </xf>
    <xf numFmtId="0" fontId="18" fillId="11" borderId="0" xfId="0" applyFont="1" applyFill="1" applyAlignment="1">
      <alignment horizontal="center" vertical="center" wrapText="1"/>
    </xf>
    <xf numFmtId="0" fontId="19" fillId="17" borderId="8" xfId="0" applyFont="1" applyFill="1" applyBorder="1" applyAlignment="1">
      <alignment horizontal="left" vertical="center" wrapText="1"/>
    </xf>
    <xf numFmtId="0" fontId="20" fillId="18" borderId="0" xfId="0" applyFont="1" applyFill="1" applyAlignment="1">
      <alignment horizontal="center" vertical="center" wrapText="1"/>
    </xf>
    <xf numFmtId="168" fontId="18" fillId="11" borderId="0" xfId="0" applyNumberFormat="1" applyFont="1" applyFill="1" applyAlignment="1">
      <alignment horizontal="center" vertical="center" wrapText="1"/>
    </xf>
    <xf numFmtId="4" fontId="18" fillId="11" borderId="0" xfId="0" applyNumberFormat="1" applyFont="1" applyFill="1" applyAlignment="1">
      <alignment horizontal="center" vertical="center" wrapText="1"/>
    </xf>
    <xf numFmtId="3" fontId="18" fillId="11" borderId="0" xfId="0" applyNumberFormat="1" applyFont="1" applyFill="1" applyAlignment="1">
      <alignment horizontal="center" vertical="center" wrapText="1"/>
    </xf>
    <xf numFmtId="169" fontId="18" fillId="11" borderId="0" xfId="0" applyNumberFormat="1" applyFont="1" applyFill="1" applyAlignment="1">
      <alignment horizontal="center" vertical="center" wrapText="1"/>
    </xf>
    <xf numFmtId="1" fontId="18" fillId="11" borderId="0" xfId="0" applyNumberFormat="1" applyFont="1" applyFill="1" applyAlignment="1">
      <alignment horizontal="center" vertical="center" wrapText="1"/>
    </xf>
    <xf numFmtId="49" fontId="18" fillId="11" borderId="0" xfId="0" applyNumberFormat="1" applyFont="1" applyFill="1" applyAlignment="1">
      <alignment horizontal="center" vertical="center" wrapText="1"/>
    </xf>
    <xf numFmtId="0" fontId="21" fillId="3" borderId="0" xfId="0" applyFont="1" applyFill="1" applyAlignment="1">
      <alignment horizontal="center" vertical="center" wrapText="1"/>
    </xf>
    <xf numFmtId="0" fontId="18" fillId="11" borderId="9" xfId="0" applyFont="1" applyFill="1" applyBorder="1" applyAlignment="1">
      <alignment horizontal="left" vertical="center" wrapText="1"/>
    </xf>
    <xf numFmtId="0" fontId="18" fillId="11" borderId="10" xfId="0" applyFont="1" applyFill="1" applyBorder="1" applyAlignment="1">
      <alignment horizontal="center" vertical="center" wrapText="1"/>
    </xf>
    <xf numFmtId="170" fontId="22" fillId="11" borderId="10" xfId="0" applyNumberFormat="1" applyFont="1" applyFill="1" applyBorder="1" applyAlignment="1">
      <alignment horizontal="center" vertical="center" wrapText="1"/>
    </xf>
    <xf numFmtId="170" fontId="21" fillId="3" borderId="11" xfId="0" applyNumberFormat="1" applyFont="1" applyFill="1" applyBorder="1" applyAlignment="1">
      <alignment horizontal="center" vertical="center" wrapText="1"/>
    </xf>
    <xf numFmtId="0" fontId="18" fillId="11" borderId="12" xfId="0" applyFont="1" applyFill="1" applyBorder="1" applyAlignment="1">
      <alignment horizontal="left" vertical="center" wrapText="1"/>
    </xf>
    <xf numFmtId="0" fontId="18" fillId="11" borderId="2" xfId="0" applyFont="1" applyFill="1" applyBorder="1" applyAlignment="1">
      <alignment horizontal="center" vertical="center" wrapText="1"/>
    </xf>
    <xf numFmtId="170" fontId="18" fillId="11" borderId="2" xfId="0" applyNumberFormat="1" applyFont="1" applyFill="1" applyBorder="1" applyAlignment="1">
      <alignment horizontal="center" vertical="center" wrapText="1"/>
    </xf>
    <xf numFmtId="170" fontId="21" fillId="3" borderId="13" xfId="0" applyNumberFormat="1" applyFont="1" applyFill="1" applyBorder="1" applyAlignment="1">
      <alignment horizontal="center" vertical="center" wrapText="1"/>
    </xf>
    <xf numFmtId="0" fontId="23" fillId="13" borderId="0" xfId="0" applyFont="1" applyFill="1" applyAlignment="1">
      <alignment horizontal="left" vertical="center" wrapText="1"/>
    </xf>
    <xf numFmtId="0" fontId="0" fillId="0" borderId="12" xfId="0" applyBorder="1"/>
    <xf numFmtId="0" fontId="0" fillId="0" borderId="2" xfId="0" applyBorder="1"/>
    <xf numFmtId="171" fontId="18" fillId="11" borderId="2" xfId="0" applyNumberFormat="1" applyFont="1" applyFill="1" applyBorder="1" applyAlignment="1">
      <alignment horizontal="center" vertical="center"/>
    </xf>
    <xf numFmtId="0" fontId="20" fillId="12" borderId="0" xfId="0" applyFont="1" applyFill="1" applyAlignment="1">
      <alignment horizontal="left" vertical="center" wrapText="1"/>
    </xf>
    <xf numFmtId="0" fontId="0" fillId="0" borderId="14" xfId="0" applyBorder="1"/>
    <xf numFmtId="0" fontId="0" fillId="0" borderId="15" xfId="0" applyBorder="1"/>
    <xf numFmtId="170" fontId="20" fillId="12" borderId="16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 wrapText="1"/>
    </xf>
    <xf numFmtId="170" fontId="21" fillId="3" borderId="0" xfId="0" applyNumberFormat="1" applyFont="1" applyFill="1" applyAlignment="1">
      <alignment horizontal="center" vertical="center" wrapText="1"/>
    </xf>
    <xf numFmtId="172" fontId="21" fillId="3" borderId="0" xfId="0" applyNumberFormat="1" applyFont="1" applyFill="1" applyAlignment="1">
      <alignment horizontal="center" vertical="center" wrapText="1"/>
    </xf>
    <xf numFmtId="170" fontId="24" fillId="12" borderId="0" xfId="0" applyNumberFormat="1" applyFont="1" applyFill="1" applyAlignment="1">
      <alignment horizontal="center" vertical="center" wrapText="1"/>
    </xf>
    <xf numFmtId="4" fontId="24" fillId="12" borderId="0" xfId="0" applyNumberFormat="1" applyFont="1" applyFill="1" applyAlignment="1">
      <alignment horizontal="center" vertical="center" wrapText="1"/>
    </xf>
    <xf numFmtId="170" fontId="21" fillId="10" borderId="0" xfId="0" applyNumberFormat="1" applyFont="1" applyFill="1" applyAlignment="1">
      <alignment horizontal="center" vertical="center" wrapText="1"/>
    </xf>
    <xf numFmtId="172" fontId="21" fillId="10" borderId="0" xfId="0" applyNumberFormat="1" applyFont="1" applyFill="1" applyAlignment="1">
      <alignment horizontal="center" vertical="center" wrapText="1"/>
    </xf>
    <xf numFmtId="170" fontId="24" fillId="10" borderId="0" xfId="0" applyNumberFormat="1" applyFont="1" applyFill="1" applyAlignment="1">
      <alignment horizontal="center" vertical="center" wrapText="1"/>
    </xf>
    <xf numFmtId="170" fontId="18" fillId="11" borderId="10" xfId="0" applyNumberFormat="1" applyFont="1" applyFill="1" applyBorder="1" applyAlignment="1">
      <alignment horizontal="center" vertical="center" wrapText="1"/>
    </xf>
    <xf numFmtId="4" fontId="18" fillId="11" borderId="2" xfId="0" applyNumberFormat="1" applyFont="1" applyFill="1" applyBorder="1" applyAlignment="1">
      <alignment horizontal="center" vertical="center" wrapText="1"/>
    </xf>
    <xf numFmtId="0" fontId="18" fillId="11" borderId="0" xfId="0" applyFont="1" applyFill="1" applyAlignment="1">
      <alignment horizontal="left" vertical="center" wrapText="1"/>
    </xf>
    <xf numFmtId="0" fontId="27" fillId="0" borderId="0" xfId="0" applyFont="1"/>
    <xf numFmtId="0" fontId="4" fillId="14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0" fillId="19" borderId="19" xfId="0" applyFont="1" applyFill="1" applyBorder="1" applyAlignment="1">
      <alignment horizontal="center" vertical="center" wrapText="1"/>
    </xf>
    <xf numFmtId="0" fontId="28" fillId="21" borderId="4" xfId="0" applyFont="1" applyFill="1" applyBorder="1" applyAlignment="1">
      <alignment horizontal="center" vertical="center"/>
    </xf>
    <xf numFmtId="0" fontId="21" fillId="22" borderId="20" xfId="0" applyFont="1" applyFill="1" applyBorder="1" applyAlignment="1">
      <alignment horizontal="left" vertical="center" indent="1"/>
    </xf>
    <xf numFmtId="3" fontId="21" fillId="22" borderId="20" xfId="0" applyNumberFormat="1" applyFont="1" applyFill="1" applyBorder="1" applyAlignment="1">
      <alignment horizontal="center" vertical="center"/>
    </xf>
    <xf numFmtId="9" fontId="21" fillId="22" borderId="20" xfId="0" applyNumberFormat="1" applyFont="1" applyFill="1" applyBorder="1" applyAlignment="1">
      <alignment horizontal="center" vertical="center"/>
    </xf>
    <xf numFmtId="167" fontId="21" fillId="22" borderId="20" xfId="0" applyNumberFormat="1" applyFont="1" applyFill="1" applyBorder="1" applyAlignment="1">
      <alignment horizontal="center" vertical="center"/>
    </xf>
    <xf numFmtId="167" fontId="6" fillId="22" borderId="4" xfId="0" applyNumberFormat="1" applyFont="1" applyFill="1" applyBorder="1" applyAlignment="1">
      <alignment horizontal="center" vertical="center"/>
    </xf>
    <xf numFmtId="164" fontId="6" fillId="22" borderId="4" xfId="0" applyNumberFormat="1" applyFont="1" applyFill="1" applyBorder="1" applyAlignment="1">
      <alignment horizontal="center" vertical="center"/>
    </xf>
    <xf numFmtId="167" fontId="6" fillId="10" borderId="21" xfId="0" applyNumberFormat="1" applyFont="1" applyFill="1" applyBorder="1" applyAlignment="1">
      <alignment horizontal="center" vertical="center"/>
    </xf>
    <xf numFmtId="167" fontId="6" fillId="22" borderId="4" xfId="0" applyNumberFormat="1" applyFont="1" applyFill="1" applyBorder="1" applyAlignment="1">
      <alignment horizontal="right" vertical="center"/>
    </xf>
    <xf numFmtId="164" fontId="6" fillId="22" borderId="4" xfId="0" applyNumberFormat="1" applyFont="1" applyFill="1" applyBorder="1" applyAlignment="1">
      <alignment horizontal="right" vertical="center"/>
    </xf>
    <xf numFmtId="1" fontId="21" fillId="22" borderId="20" xfId="0" applyNumberFormat="1" applyFont="1" applyFill="1" applyBorder="1" applyAlignment="1">
      <alignment horizontal="left" vertical="center" indent="1"/>
    </xf>
    <xf numFmtId="167" fontId="13" fillId="14" borderId="22" xfId="0" applyNumberFormat="1" applyFont="1" applyFill="1" applyBorder="1" applyAlignment="1">
      <alignment horizontal="center" vertical="center"/>
    </xf>
    <xf numFmtId="167" fontId="13" fillId="10" borderId="23" xfId="0" applyNumberFormat="1" applyFont="1" applyFill="1" applyBorder="1" applyAlignment="1">
      <alignment horizontal="center" vertical="center"/>
    </xf>
    <xf numFmtId="0" fontId="29" fillId="0" borderId="0" xfId="1" applyAlignment="1">
      <alignment horizontal="left" vertical="center"/>
    </xf>
    <xf numFmtId="0" fontId="28" fillId="21" borderId="24" xfId="0" applyFont="1" applyFill="1" applyBorder="1" applyAlignment="1">
      <alignment horizontal="center" vertical="center"/>
    </xf>
    <xf numFmtId="0" fontId="20" fillId="21" borderId="24" xfId="0" applyFont="1" applyFill="1" applyBorder="1" applyAlignment="1">
      <alignment horizontal="center" vertical="center"/>
    </xf>
    <xf numFmtId="173" fontId="31" fillId="3" borderId="1" xfId="3" applyNumberFormat="1" applyAlignment="1">
      <alignment horizontal="center" vertical="center"/>
    </xf>
    <xf numFmtId="0" fontId="21" fillId="11" borderId="24" xfId="0" applyFont="1" applyFill="1" applyBorder="1" applyAlignment="1">
      <alignment horizontal="center" vertical="center"/>
    </xf>
    <xf numFmtId="164" fontId="21" fillId="23" borderId="24" xfId="0" applyNumberFormat="1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21" fillId="24" borderId="4" xfId="0" applyFont="1" applyFill="1" applyBorder="1" applyAlignment="1">
      <alignment horizontal="left" vertical="center"/>
    </xf>
    <xf numFmtId="0" fontId="32" fillId="11" borderId="4" xfId="0" applyFont="1" applyFill="1" applyBorder="1" applyAlignment="1">
      <alignment horizontal="center" vertical="center"/>
    </xf>
    <xf numFmtId="1" fontId="21" fillId="25" borderId="4" xfId="0" applyNumberFormat="1" applyFont="1" applyFill="1" applyBorder="1" applyAlignment="1">
      <alignment horizontal="center" vertical="center"/>
    </xf>
    <xf numFmtId="0" fontId="21" fillId="13" borderId="25" xfId="0" applyFont="1" applyFill="1" applyBorder="1" applyAlignment="1">
      <alignment horizontal="left" vertical="center" indent="1"/>
    </xf>
    <xf numFmtId="2" fontId="33" fillId="13" borderId="25" xfId="0" applyNumberFormat="1" applyFont="1" applyFill="1" applyBorder="1" applyAlignment="1">
      <alignment horizontal="center" vertical="center"/>
    </xf>
    <xf numFmtId="0" fontId="21" fillId="10" borderId="4" xfId="0" applyFont="1" applyFill="1" applyBorder="1" applyAlignment="1">
      <alignment horizontal="left" vertical="center"/>
    </xf>
    <xf numFmtId="0" fontId="34" fillId="26" borderId="4" xfId="0" applyFont="1" applyFill="1" applyBorder="1" applyAlignment="1">
      <alignment horizontal="center" vertical="center"/>
    </xf>
    <xf numFmtId="1" fontId="21" fillId="10" borderId="4" xfId="0" applyNumberFormat="1" applyFont="1" applyFill="1" applyBorder="1" applyAlignment="1">
      <alignment horizontal="center" vertical="center"/>
    </xf>
    <xf numFmtId="0" fontId="21" fillId="27" borderId="25" xfId="0" applyFont="1" applyFill="1" applyBorder="1" applyAlignment="1">
      <alignment horizontal="left" vertical="center" indent="1"/>
    </xf>
    <xf numFmtId="2" fontId="33" fillId="27" borderId="25" xfId="0" applyNumberFormat="1" applyFont="1" applyFill="1" applyBorder="1" applyAlignment="1">
      <alignment horizontal="center" vertical="center"/>
    </xf>
    <xf numFmtId="0" fontId="35" fillId="24" borderId="4" xfId="0" applyFont="1" applyFill="1" applyBorder="1" applyAlignment="1">
      <alignment horizontal="center" vertical="center"/>
    </xf>
    <xf numFmtId="0" fontId="35" fillId="10" borderId="4" xfId="0" applyFont="1" applyFill="1" applyBorder="1" applyAlignment="1">
      <alignment horizontal="center" vertical="center"/>
    </xf>
    <xf numFmtId="0" fontId="36" fillId="27" borderId="25" xfId="0" applyFont="1" applyFill="1" applyBorder="1" applyAlignment="1">
      <alignment horizontal="center" vertical="center"/>
    </xf>
    <xf numFmtId="0" fontId="37" fillId="10" borderId="3" xfId="0" applyFont="1" applyFill="1" applyBorder="1" applyAlignment="1">
      <alignment horizontal="left" vertical="center"/>
    </xf>
    <xf numFmtId="1" fontId="38" fillId="11" borderId="4" xfId="0" applyNumberFormat="1" applyFont="1" applyFill="1" applyBorder="1" applyAlignment="1">
      <alignment horizontal="center" vertical="center"/>
    </xf>
    <xf numFmtId="0" fontId="38" fillId="11" borderId="4" xfId="0" applyFont="1" applyFill="1" applyBorder="1" applyAlignment="1">
      <alignment horizontal="left" vertical="center"/>
    </xf>
    <xf numFmtId="0" fontId="38" fillId="11" borderId="4" xfId="0" applyFont="1" applyFill="1" applyBorder="1" applyAlignment="1">
      <alignment horizontal="center" vertical="center"/>
    </xf>
    <xf numFmtId="0" fontId="37" fillId="12" borderId="3" xfId="0" applyFont="1" applyFill="1" applyBorder="1" applyAlignment="1">
      <alignment horizontal="center" vertical="center"/>
    </xf>
    <xf numFmtId="3" fontId="38" fillId="11" borderId="4" xfId="0" applyNumberFormat="1" applyFont="1" applyFill="1" applyBorder="1" applyAlignment="1">
      <alignment horizontal="center" vertical="center"/>
    </xf>
    <xf numFmtId="4" fontId="37" fillId="3" borderId="3" xfId="0" applyNumberFormat="1" applyFont="1" applyFill="1" applyBorder="1" applyAlignment="1">
      <alignment horizontal="center" vertical="center"/>
    </xf>
    <xf numFmtId="4" fontId="37" fillId="3" borderId="5" xfId="0" applyNumberFormat="1" applyFont="1" applyFill="1" applyBorder="1" applyAlignment="1">
      <alignment horizontal="center" vertical="center"/>
    </xf>
    <xf numFmtId="3" fontId="37" fillId="12" borderId="3" xfId="0" applyNumberFormat="1" applyFont="1" applyFill="1" applyBorder="1" applyAlignment="1">
      <alignment horizontal="center" vertical="center"/>
    </xf>
    <xf numFmtId="3" fontId="37" fillId="3" borderId="5" xfId="0" applyNumberFormat="1" applyFont="1" applyFill="1" applyBorder="1" applyAlignment="1">
      <alignment horizontal="center" vertical="center"/>
    </xf>
    <xf numFmtId="0" fontId="38" fillId="12" borderId="4" xfId="0" applyFont="1" applyFill="1" applyBorder="1" applyAlignment="1">
      <alignment horizontal="left" vertical="center"/>
    </xf>
    <xf numFmtId="0" fontId="39" fillId="2" borderId="6" xfId="2" applyFont="1" applyBorder="1" applyAlignment="1">
      <alignment horizontal="center" vertical="center" wrapText="1"/>
    </xf>
    <xf numFmtId="164" fontId="37" fillId="3" borderId="3" xfId="0" applyNumberFormat="1" applyFont="1" applyFill="1" applyBorder="1" applyAlignment="1">
      <alignment horizontal="center" vertical="center"/>
    </xf>
    <xf numFmtId="3" fontId="37" fillId="3" borderId="3" xfId="0" applyNumberFormat="1" applyFont="1" applyFill="1" applyBorder="1" applyAlignment="1">
      <alignment horizontal="center" vertical="center"/>
    </xf>
    <xf numFmtId="165" fontId="37" fillId="3" borderId="3" xfId="0" applyNumberFormat="1" applyFont="1" applyFill="1" applyBorder="1" applyAlignment="1">
      <alignment horizontal="center" vertical="center"/>
    </xf>
    <xf numFmtId="165" fontId="37" fillId="3" borderId="5" xfId="0" applyNumberFormat="1" applyFont="1" applyFill="1" applyBorder="1" applyAlignment="1">
      <alignment horizontal="center" vertical="center"/>
    </xf>
    <xf numFmtId="2" fontId="37" fillId="3" borderId="5" xfId="0" applyNumberFormat="1" applyFont="1" applyFill="1" applyBorder="1" applyAlignment="1">
      <alignment horizontal="center" vertical="center"/>
    </xf>
    <xf numFmtId="166" fontId="40" fillId="13" borderId="3" xfId="0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4" fontId="37" fillId="11" borderId="3" xfId="0" applyNumberFormat="1" applyFont="1" applyFill="1" applyBorder="1" applyAlignment="1">
      <alignment horizontal="center" vertical="center"/>
    </xf>
    <xf numFmtId="9" fontId="37" fillId="11" borderId="5" xfId="0" applyNumberFormat="1" applyFont="1" applyFill="1" applyBorder="1" applyAlignment="1">
      <alignment horizontal="center" vertical="center"/>
    </xf>
    <xf numFmtId="0" fontId="41" fillId="0" borderId="0" xfId="0" applyFont="1"/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4" fillId="15" borderId="0" xfId="0" applyFont="1" applyFill="1" applyAlignment="1">
      <alignment horizontal="left" vertical="center"/>
    </xf>
    <xf numFmtId="0" fontId="15" fillId="12" borderId="0" xfId="0" applyFont="1" applyFill="1" applyAlignment="1">
      <alignment horizontal="left" vertical="center"/>
    </xf>
    <xf numFmtId="0" fontId="19" fillId="17" borderId="17" xfId="0" applyFont="1" applyFill="1" applyBorder="1" applyAlignment="1">
      <alignment horizontal="center" vertical="center" wrapText="1"/>
    </xf>
    <xf numFmtId="0" fontId="19" fillId="17" borderId="8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left" vertical="center"/>
    </xf>
    <xf numFmtId="0" fontId="30" fillId="4" borderId="0" xfId="0" applyFont="1" applyFill="1" applyAlignment="1">
      <alignment horizontal="left" vertical="center"/>
    </xf>
    <xf numFmtId="0" fontId="17" fillId="14" borderId="2" xfId="0" applyFont="1" applyFill="1" applyBorder="1" applyAlignment="1">
      <alignment horizontal="center" vertical="center"/>
    </xf>
    <xf numFmtId="0" fontId="3" fillId="28" borderId="26" xfId="0" applyFont="1" applyFill="1" applyBorder="1" applyAlignment="1">
      <alignment horizontal="left" vertical="center" wrapText="1"/>
    </xf>
    <xf numFmtId="164" fontId="41" fillId="0" borderId="0" xfId="0" applyNumberFormat="1" applyFont="1"/>
  </cellXfs>
  <cellStyles count="4">
    <cellStyle name="Excel Built-in Calculation" xfId="3" xr:uid="{00000000-0005-0000-0000-000008000000}"/>
    <cellStyle name="Excel Built-in Good" xfId="2" xr:uid="{00000000-0005-0000-0000-000006000000}"/>
    <cellStyle name="Hyperlink" xfId="1" builtinId="8"/>
    <cellStyle name="Normal" xfId="0" builtinId="0"/>
  </cellStyles>
  <dxfs count="3">
    <dxf>
      <font>
        <color rgb="FFDAEEF3"/>
      </font>
    </dxf>
    <dxf>
      <font>
        <color rgb="FFDAEEF3"/>
      </font>
    </dxf>
    <dxf>
      <font>
        <color rgb="FFDAEEF3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F2F2F2"/>
      <rgbColor rgb="FF0000FF"/>
      <rgbColor rgb="FFFFFF00"/>
      <rgbColor rgb="FFFFF0F0"/>
      <rgbColor rgb="FFE2EFDA"/>
      <rgbColor rgb="FFC00000"/>
      <rgbColor rgb="FF006100"/>
      <rgbColor rgb="FF000080"/>
      <rgbColor rgb="FF7F6000"/>
      <rgbColor rgb="FFF7F7F7"/>
      <rgbColor rgb="FF1F6B75"/>
      <rgbColor rgb="FFC0D0C0"/>
      <rgbColor rgb="FF7F7F7F"/>
      <rgbColor rgb="FFAAAAAA"/>
      <rgbColor rgb="FF7F4C00"/>
      <rgbColor rgb="FFFFFBE6"/>
      <rgbColor rgb="FFDAEEF3"/>
      <rgbColor rgb="FF660066"/>
      <rgbColor rgb="FFD0A070"/>
      <rgbColor rgb="FF1F4E79"/>
      <rgbColor rgb="FFBDD7EE"/>
      <rgbColor rgb="FF000080"/>
      <rgbColor rgb="FFFFF0E8"/>
      <rgbColor rgb="FFFCE4D6"/>
      <rgbColor rgb="FFEBF3FB"/>
      <rgbColor rgb="FFF9F9F9"/>
      <rgbColor rgb="FF800000"/>
      <rgbColor rgb="FFFDEADA"/>
      <rgbColor rgb="FF0000FF"/>
      <rgbColor rgb="FFE6E0EC"/>
      <rgbColor rgb="FFDBEEF4"/>
      <rgbColor rgb="FFC6EFCE"/>
      <rgbColor rgb="FFFFF2CC"/>
      <rgbColor rgb="FF93CDDD"/>
      <rgbColor rgb="FFFFE0E0"/>
      <rgbColor rgb="FFD0D0D0"/>
      <rgbColor rgb="FFFAC090"/>
      <rgbColor rgb="FFEBF1DE"/>
      <rgbColor rgb="FFD6E4F0"/>
      <rgbColor rgb="FFE0E0E0"/>
      <rgbColor rgb="FFFFC000"/>
      <rgbColor rgb="FFFA7D00"/>
      <rgbColor rgb="FFE46C0A"/>
      <rgbColor rgb="FF666666"/>
      <rgbColor rgb="FF888888"/>
      <rgbColor rgb="FF1F3864"/>
      <rgbColor rgb="FF77933C"/>
      <rgbColor rgb="FF003300"/>
      <rgbColor rgb="FF375623"/>
      <rgbColor rgb="FF833C00"/>
      <rgbColor rgb="FF555555"/>
      <rgbColor rgb="FF2F5496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7933C"/>
    <pageSetUpPr fitToPage="1"/>
  </sheetPr>
  <dimension ref="A1:AQ35"/>
  <sheetViews>
    <sheetView showGridLines="0" tabSelected="1" zoomScaleNormal="100" workbookViewId="0">
      <pane xSplit="1" ySplit="5" topLeftCell="AI6" activePane="bottomRight" state="frozen"/>
      <selection pane="topRight" activeCell="B1" sqref="B1"/>
      <selection pane="bottomLeft" activeCell="A6" sqref="A6"/>
      <selection pane="bottomRight" activeCell="AR14" sqref="AR14"/>
    </sheetView>
  </sheetViews>
  <sheetFormatPr defaultColWidth="8.7109375" defaultRowHeight="15" x14ac:dyDescent="0.25"/>
  <cols>
    <col min="1" max="1" width="5.5703125" customWidth="1"/>
    <col min="2" max="2" width="5.28515625" customWidth="1"/>
    <col min="3" max="3" width="26.5703125" customWidth="1"/>
    <col min="4" max="4" width="10.85546875" customWidth="1"/>
    <col min="5" max="5" width="29.7109375" customWidth="1"/>
    <col min="6" max="6" width="12.42578125" bestFit="1" customWidth="1"/>
    <col min="7" max="7" width="38.7109375" customWidth="1"/>
    <col min="8" max="8" width="11.7109375" customWidth="1"/>
    <col min="9" max="9" width="8.42578125" customWidth="1"/>
    <col min="10" max="11" width="9" customWidth="1"/>
    <col min="12" max="12" width="12" customWidth="1"/>
    <col min="13" max="13" width="13" customWidth="1"/>
    <col min="14" max="14" width="11" customWidth="1"/>
    <col min="15" max="15" width="8" customWidth="1"/>
    <col min="16" max="16" width="11" customWidth="1"/>
    <col min="17" max="17" width="11.42578125" customWidth="1"/>
    <col min="18" max="18" width="11" customWidth="1"/>
    <col min="19" max="19" width="10" customWidth="1"/>
    <col min="20" max="20" width="12" customWidth="1"/>
    <col min="21" max="21" width="10" customWidth="1"/>
    <col min="22" max="22" width="9.5703125" customWidth="1"/>
    <col min="23" max="23" width="12" customWidth="1"/>
    <col min="24" max="24" width="41.85546875" bestFit="1" customWidth="1"/>
    <col min="25" max="25" width="24.85546875" customWidth="1"/>
    <col min="26" max="26" width="9.5703125" customWidth="1"/>
    <col min="27" max="27" width="10" customWidth="1"/>
    <col min="28" max="28" width="8.42578125" customWidth="1"/>
    <col min="29" max="29" width="14" customWidth="1"/>
    <col min="30" max="30" width="9.5703125" customWidth="1"/>
    <col min="31" max="31" width="14" customWidth="1"/>
    <col min="32" max="33" width="11" customWidth="1"/>
    <col min="34" max="34" width="29.28515625" customWidth="1"/>
    <col min="35" max="35" width="8" customWidth="1"/>
    <col min="36" max="36" width="13" customWidth="1"/>
    <col min="37" max="37" width="9.140625" customWidth="1"/>
    <col min="38" max="38" width="24.7109375" customWidth="1"/>
    <col min="39" max="39" width="8.42578125" customWidth="1"/>
    <col min="40" max="40" width="11" customWidth="1"/>
    <col min="41" max="41" width="12" customWidth="1"/>
    <col min="43" max="43" width="11.5703125" bestFit="1" customWidth="1"/>
  </cols>
  <sheetData>
    <row r="1" spans="1:43" ht="31.5" customHeight="1" x14ac:dyDescent="0.25">
      <c r="A1" s="152" t="s">
        <v>0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</row>
    <row r="2" spans="1:43" ht="13.5" customHeight="1" x14ac:dyDescent="0.25">
      <c r="A2" s="153" t="s">
        <v>1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</row>
    <row r="3" spans="1:43" ht="7.5" customHeight="1" x14ac:dyDescent="0.25"/>
    <row r="4" spans="1:43" ht="51.75" customHeight="1" x14ac:dyDescent="0.25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8</v>
      </c>
      <c r="H4" s="3" t="s">
        <v>9</v>
      </c>
      <c r="I4" s="4" t="s">
        <v>10</v>
      </c>
      <c r="J4" s="4" t="s">
        <v>11</v>
      </c>
      <c r="K4" s="4" t="s">
        <v>12</v>
      </c>
      <c r="L4" s="3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  <c r="T4" s="5" t="s">
        <v>21</v>
      </c>
      <c r="U4" s="5" t="s">
        <v>22</v>
      </c>
      <c r="V4" s="3" t="s">
        <v>23</v>
      </c>
      <c r="W4" s="5" t="s">
        <v>24</v>
      </c>
      <c r="X4" s="3" t="s">
        <v>25</v>
      </c>
      <c r="Y4" s="3" t="s">
        <v>26</v>
      </c>
      <c r="Z4" s="4" t="s">
        <v>27</v>
      </c>
      <c r="AA4" s="4" t="s">
        <v>28</v>
      </c>
      <c r="AB4" s="4" t="s">
        <v>29</v>
      </c>
      <c r="AC4" s="5" t="s">
        <v>30</v>
      </c>
      <c r="AD4" s="5" t="s">
        <v>31</v>
      </c>
      <c r="AE4" s="5" t="s">
        <v>32</v>
      </c>
      <c r="AF4" s="5" t="s">
        <v>33</v>
      </c>
      <c r="AG4" s="5" t="s">
        <v>34</v>
      </c>
      <c r="AH4" s="5" t="s">
        <v>35</v>
      </c>
      <c r="AI4" s="5" t="s">
        <v>36</v>
      </c>
      <c r="AJ4" s="3" t="s">
        <v>37</v>
      </c>
      <c r="AK4" s="5" t="s">
        <v>38</v>
      </c>
      <c r="AL4" s="6" t="s">
        <v>39</v>
      </c>
      <c r="AM4" s="6" t="s">
        <v>40</v>
      </c>
      <c r="AN4" s="4" t="s">
        <v>41</v>
      </c>
      <c r="AO4" s="4" t="s">
        <v>42</v>
      </c>
      <c r="AP4" t="s">
        <v>259</v>
      </c>
    </row>
    <row r="5" spans="1:43" ht="12.75" customHeight="1" x14ac:dyDescent="0.25">
      <c r="A5" s="7" t="s">
        <v>43</v>
      </c>
      <c r="B5" s="7" t="s">
        <v>44</v>
      </c>
      <c r="C5" s="7" t="s">
        <v>45</v>
      </c>
      <c r="D5" s="7" t="s">
        <v>46</v>
      </c>
      <c r="E5" s="7" t="s">
        <v>47</v>
      </c>
      <c r="F5" s="7" t="s">
        <v>48</v>
      </c>
      <c r="G5" s="7" t="s">
        <v>49</v>
      </c>
      <c r="H5" s="8" t="s">
        <v>50</v>
      </c>
      <c r="I5" s="9" t="s">
        <v>51</v>
      </c>
      <c r="J5" s="9" t="s">
        <v>52</v>
      </c>
      <c r="K5" s="9" t="s">
        <v>53</v>
      </c>
      <c r="L5" s="8" t="s">
        <v>54</v>
      </c>
      <c r="M5" s="9" t="s">
        <v>55</v>
      </c>
      <c r="N5" s="9" t="s">
        <v>56</v>
      </c>
      <c r="O5" s="9" t="s">
        <v>57</v>
      </c>
      <c r="P5" s="9" t="s">
        <v>58</v>
      </c>
      <c r="Q5" s="9" t="s">
        <v>59</v>
      </c>
      <c r="R5" s="9" t="s">
        <v>60</v>
      </c>
      <c r="S5" s="9" t="s">
        <v>61</v>
      </c>
      <c r="T5" s="10" t="s">
        <v>62</v>
      </c>
      <c r="U5" s="10" t="s">
        <v>63</v>
      </c>
      <c r="V5" s="8" t="s">
        <v>64</v>
      </c>
      <c r="W5" s="10" t="s">
        <v>65</v>
      </c>
      <c r="X5" s="8" t="s">
        <v>66</v>
      </c>
      <c r="Y5" s="8" t="s">
        <v>67</v>
      </c>
      <c r="Z5" s="9" t="s">
        <v>68</v>
      </c>
      <c r="AA5" s="9" t="s">
        <v>69</v>
      </c>
      <c r="AB5" s="9" t="s">
        <v>70</v>
      </c>
      <c r="AC5" s="10" t="s">
        <v>71</v>
      </c>
      <c r="AD5" s="10" t="s">
        <v>72</v>
      </c>
      <c r="AE5" s="10" t="s">
        <v>73</v>
      </c>
      <c r="AF5" s="10" t="s">
        <v>74</v>
      </c>
      <c r="AG5" s="10" t="s">
        <v>75</v>
      </c>
      <c r="AH5" s="10" t="s">
        <v>76</v>
      </c>
      <c r="AI5" s="10" t="s">
        <v>77</v>
      </c>
      <c r="AJ5" s="8" t="s">
        <v>78</v>
      </c>
      <c r="AK5" s="10" t="s">
        <v>79</v>
      </c>
      <c r="AL5" s="11" t="s">
        <v>80</v>
      </c>
      <c r="AM5" s="11" t="s">
        <v>81</v>
      </c>
      <c r="AN5" s="9" t="s">
        <v>82</v>
      </c>
      <c r="AO5" s="9" t="s">
        <v>83</v>
      </c>
    </row>
    <row r="6" spans="1:43" s="151" customFormat="1" ht="14.25" x14ac:dyDescent="0.2">
      <c r="A6" s="130">
        <v>1</v>
      </c>
      <c r="B6" s="131">
        <v>2722</v>
      </c>
      <c r="C6" s="132" t="s">
        <v>250</v>
      </c>
      <c r="D6" s="132"/>
      <c r="E6" s="131"/>
      <c r="F6" s="133">
        <v>2028</v>
      </c>
      <c r="G6" s="132" t="s">
        <v>251</v>
      </c>
      <c r="H6" s="134" t="s">
        <v>84</v>
      </c>
      <c r="I6" s="131">
        <v>1</v>
      </c>
      <c r="J6" s="135">
        <v>64000</v>
      </c>
      <c r="K6" s="135">
        <v>6400</v>
      </c>
      <c r="L6" s="134" t="s">
        <v>113</v>
      </c>
      <c r="M6" s="133">
        <v>261</v>
      </c>
      <c r="N6" s="133">
        <v>143</v>
      </c>
      <c r="O6" s="133">
        <v>2</v>
      </c>
      <c r="P6" s="133">
        <v>266</v>
      </c>
      <c r="Q6" s="133">
        <v>1</v>
      </c>
      <c r="R6" s="133">
        <v>0</v>
      </c>
      <c r="S6" s="133">
        <v>5</v>
      </c>
      <c r="T6" s="136">
        <f>IF(ProgramCalcul!$H6 = "DA", ProgramCalcul!$M6*ProgramCalcul!$N6*ProgramCalcul!$J6/1000000 *ProgramCalcul!$I6, ProgramCalcul!$M6*ProgramCalcul!$N6*ProgramCalcul!$J6/1000000)</f>
        <v>2388.672</v>
      </c>
      <c r="U6" s="137">
        <f>IFERROR(IF(ProgramCalcul!$H6 = "DA", ProgramCalcul!$O6*ProgramCalcul!$N6*ProgramCalcul!$M6*ProgramCalcul!$J6/1000000000*ProgramCalcul!$I6, ProgramCalcul!$O6*ProgramCalcul!$N6*ProgramCalcul!$M6*ProgramCalcul!$J6/1000000000),"-")</f>
        <v>4.7773440000000003</v>
      </c>
      <c r="V6" s="138">
        <v>1</v>
      </c>
      <c r="W6" s="139">
        <f>CEILING(N6*Q6+R6*(Q6-1)+2*S6,V6)</f>
        <v>153</v>
      </c>
      <c r="X6" s="140" t="s">
        <v>255</v>
      </c>
      <c r="Y6" s="140" t="s">
        <v>252</v>
      </c>
      <c r="Z6" s="141">
        <v>1000</v>
      </c>
      <c r="AA6" s="141">
        <v>100</v>
      </c>
      <c r="AB6" s="141">
        <f>1+1</f>
        <v>2</v>
      </c>
      <c r="AC6" s="142">
        <f>IFERROR(((AA6*1000)*Z6/1000000*AB6), "VERIFICA DATELE INTRODUSE")</f>
        <v>200</v>
      </c>
      <c r="AD6" s="143">
        <f>IFERROR((TRUNC((Z6/W6),0)), "VERIFICA DATELE INTRODUSE")</f>
        <v>6</v>
      </c>
      <c r="AE6" s="143">
        <f>IFERROR($Z6-($W6*$AD6), "VERIFICA DATELE INTRODUSE")</f>
        <v>82</v>
      </c>
      <c r="AF6" s="143">
        <f>IFERROR((TRUNC(((AA6*1000)/P6*Q6),0)), "VERIFICA DATELE INTRODUSE")</f>
        <v>375</v>
      </c>
      <c r="AG6" s="143">
        <f>IFERROR((AF6*AD6), "VERIFICA DATELE INTRODUSE")</f>
        <v>2250</v>
      </c>
      <c r="AH6" s="144">
        <f>IFERROR((AC6/AG6), "VERIFICA DATELE INTRODUSE")</f>
        <v>8.8888888888888892E-2</v>
      </c>
      <c r="AI6" s="145" t="str">
        <f>IF(ProgramCalcul!$H6 = "DA", ProgramCalcul!$AH6*ProgramCalcul!$I6, "-")</f>
        <v>-</v>
      </c>
      <c r="AJ6" s="134" t="s">
        <v>242</v>
      </c>
      <c r="AK6" s="146">
        <f>VLOOKUP(ProgramCalcul!$AJ6,ReferinteTabel!$F$4:$G$11,2,FALSE())</f>
        <v>2.2999999999999998</v>
      </c>
      <c r="AL6" s="147">
        <f>IF(ProgramCalcul!$AJ6 = "&lt;10€/1000 Buc",((AH6*J6)+(J6/1000*10))/J6, (IFERROR((AH6*AK6), "VERIFICA DATELE INTRODUSE")))</f>
        <v>0.20444444444444443</v>
      </c>
      <c r="AM6" s="148" t="str">
        <f>IF(ProgramCalcul!$H6 = "DA", ProgramCalcul!$AL6*ProgramCalcul!$I6, "-")</f>
        <v>-</v>
      </c>
      <c r="AN6" s="149">
        <v>200</v>
      </c>
      <c r="AO6" s="150">
        <v>0.03</v>
      </c>
      <c r="AP6" s="151">
        <v>6400</v>
      </c>
      <c r="AQ6" s="164">
        <f>AL6*1000</f>
        <v>204.44444444444443</v>
      </c>
    </row>
    <row r="7" spans="1:43" s="151" customFormat="1" ht="14.25" x14ac:dyDescent="0.2">
      <c r="A7" s="130">
        <v>2</v>
      </c>
      <c r="B7" s="131">
        <v>2722</v>
      </c>
      <c r="C7" s="132" t="s">
        <v>250</v>
      </c>
      <c r="D7" s="132"/>
      <c r="E7" s="131"/>
      <c r="F7" s="133">
        <v>2028</v>
      </c>
      <c r="G7" s="132" t="s">
        <v>251</v>
      </c>
      <c r="H7" s="134" t="s">
        <v>84</v>
      </c>
      <c r="I7" s="131">
        <v>1</v>
      </c>
      <c r="J7" s="135">
        <v>64000</v>
      </c>
      <c r="K7" s="135">
        <v>6400</v>
      </c>
      <c r="L7" s="134" t="s">
        <v>113</v>
      </c>
      <c r="M7" s="133">
        <v>304</v>
      </c>
      <c r="N7" s="133">
        <v>120</v>
      </c>
      <c r="O7" s="133">
        <v>2</v>
      </c>
      <c r="P7" s="133">
        <v>309</v>
      </c>
      <c r="Q7" s="133">
        <v>1</v>
      </c>
      <c r="R7" s="133">
        <v>0</v>
      </c>
      <c r="S7" s="133">
        <v>5</v>
      </c>
      <c r="T7" s="136">
        <f>IF(ProgramCalcul!$H7 = "DA", ProgramCalcul!$M7*ProgramCalcul!$N7*ProgramCalcul!$J7/1000000 *ProgramCalcul!$I7, ProgramCalcul!$M7*ProgramCalcul!$N7*ProgramCalcul!$J7/1000000)</f>
        <v>2334.7199999999998</v>
      </c>
      <c r="U7" s="137">
        <f>IFERROR(IF(ProgramCalcul!$H7 = "DA", ProgramCalcul!$O7*ProgramCalcul!$N7*ProgramCalcul!$M7*ProgramCalcul!$J7/1000000000*ProgramCalcul!$I7, ProgramCalcul!$O7*ProgramCalcul!$N7*ProgramCalcul!$M7*ProgramCalcul!$J7/1000000000),"-")</f>
        <v>4.6694399999999998</v>
      </c>
      <c r="V7" s="138">
        <v>1</v>
      </c>
      <c r="W7" s="139">
        <f>CEILING(N7*Q7+R7*(Q7-1)+2*S7,V7)</f>
        <v>130</v>
      </c>
      <c r="X7" s="140" t="s">
        <v>256</v>
      </c>
      <c r="Y7" s="140" t="s">
        <v>252</v>
      </c>
      <c r="Z7" s="141">
        <v>1000</v>
      </c>
      <c r="AA7" s="141">
        <v>100</v>
      </c>
      <c r="AB7" s="141">
        <f t="shared" ref="AB7:AB9" si="0">1+1</f>
        <v>2</v>
      </c>
      <c r="AC7" s="142">
        <f>IFERROR(((AA7*1000)*Z7/1000000*AB7), "VERIFICA DATELE INTRODUSE")</f>
        <v>200</v>
      </c>
      <c r="AD7" s="143">
        <f>IFERROR((TRUNC((Z7/W7),0)), "VERIFICA DATELE INTRODUSE")</f>
        <v>7</v>
      </c>
      <c r="AE7" s="143">
        <f>IFERROR($Z7-($W7*$AD7), "VERIFICA DATELE INTRODUSE")</f>
        <v>90</v>
      </c>
      <c r="AF7" s="143">
        <f>IFERROR((TRUNC(((AA7*1000)/P7*Q7),0)), "VERIFICA DATELE INTRODUSE")</f>
        <v>323</v>
      </c>
      <c r="AG7" s="143">
        <f>IFERROR((AF7*AD7), "VERIFICA DATELE INTRODUSE")</f>
        <v>2261</v>
      </c>
      <c r="AH7" s="144">
        <f>IFERROR((AC7/AG7), "VERIFICA DATELE INTRODUSE")</f>
        <v>8.845643520566121E-2</v>
      </c>
      <c r="AI7" s="145" t="str">
        <f>IF(ProgramCalcul!$H7 = "DA", ProgramCalcul!$AH7*ProgramCalcul!$I7, "-")</f>
        <v>-</v>
      </c>
      <c r="AJ7" s="134" t="s">
        <v>242</v>
      </c>
      <c r="AK7" s="146">
        <f>VLOOKUP(ProgramCalcul!$AJ7,ReferinteTabel!$F$4:$G$11,2,FALSE())</f>
        <v>2.2999999999999998</v>
      </c>
      <c r="AL7" s="147">
        <f>IF(ProgramCalcul!$AJ7 = "&lt;10€/1000 Buc",((AH7*J7)+(J7/1000*10))/J7, (IFERROR((AH7*AK7), "VERIFICA DATELE INTRODUSE")))</f>
        <v>0.20344980097302076</v>
      </c>
      <c r="AM7" s="148" t="str">
        <f>IF(ProgramCalcul!$H7 = "DA", ProgramCalcul!$AL7*ProgramCalcul!$I7, "-")</f>
        <v>-</v>
      </c>
      <c r="AN7" s="149">
        <v>200</v>
      </c>
      <c r="AO7" s="150">
        <v>0.03</v>
      </c>
      <c r="AP7" s="151">
        <v>6400</v>
      </c>
      <c r="AQ7" s="164">
        <f t="shared" ref="AQ7:AQ10" si="1">AL7*1000</f>
        <v>203.44980097302076</v>
      </c>
    </row>
    <row r="8" spans="1:43" s="151" customFormat="1" ht="14.25" x14ac:dyDescent="0.2">
      <c r="A8" s="130">
        <v>3</v>
      </c>
      <c r="B8" s="131">
        <v>2722</v>
      </c>
      <c r="C8" s="132" t="s">
        <v>250</v>
      </c>
      <c r="D8" s="132"/>
      <c r="E8" s="131"/>
      <c r="F8" s="133">
        <v>2028</v>
      </c>
      <c r="G8" s="132" t="s">
        <v>251</v>
      </c>
      <c r="H8" s="134" t="s">
        <v>84</v>
      </c>
      <c r="I8" s="131">
        <v>1</v>
      </c>
      <c r="J8" s="135">
        <v>15000</v>
      </c>
      <c r="K8" s="135">
        <v>1500</v>
      </c>
      <c r="L8" s="134" t="s">
        <v>113</v>
      </c>
      <c r="M8" s="133">
        <v>221</v>
      </c>
      <c r="N8" s="133">
        <v>80</v>
      </c>
      <c r="O8" s="133">
        <v>2</v>
      </c>
      <c r="P8" s="133">
        <v>226</v>
      </c>
      <c r="Q8" s="133">
        <v>1</v>
      </c>
      <c r="R8" s="133">
        <v>0</v>
      </c>
      <c r="S8" s="133">
        <v>5</v>
      </c>
      <c r="T8" s="136">
        <f>IF(ProgramCalcul!$H8 = "DA", ProgramCalcul!$M8*ProgramCalcul!$N8*ProgramCalcul!$J8/1000000 *ProgramCalcul!$I8, ProgramCalcul!$M8*ProgramCalcul!$N8*ProgramCalcul!$J8/1000000)</f>
        <v>265.2</v>
      </c>
      <c r="U8" s="137">
        <f>IFERROR(IF(ProgramCalcul!$H8 = "DA", ProgramCalcul!$O8*ProgramCalcul!$N8*ProgramCalcul!$M8*ProgramCalcul!$J8/1000000000*ProgramCalcul!$I8, ProgramCalcul!$O8*ProgramCalcul!$N8*ProgramCalcul!$M8*ProgramCalcul!$J8/1000000000),"-")</f>
        <v>0.53039999999999998</v>
      </c>
      <c r="V8" s="138">
        <v>1</v>
      </c>
      <c r="W8" s="139">
        <f>CEILING(N8*Q8+R8*(Q8-1)+2*S8,V8)</f>
        <v>90</v>
      </c>
      <c r="X8" s="140" t="s">
        <v>257</v>
      </c>
      <c r="Y8" s="140" t="s">
        <v>252</v>
      </c>
      <c r="Z8" s="141">
        <v>1000</v>
      </c>
      <c r="AA8" s="141">
        <v>100</v>
      </c>
      <c r="AB8" s="141">
        <f t="shared" si="0"/>
        <v>2</v>
      </c>
      <c r="AC8" s="142">
        <f>IFERROR(((AA8*1000)*Z8/1000000*AB8), "VERIFICA DATELE INTRODUSE")</f>
        <v>200</v>
      </c>
      <c r="AD8" s="143">
        <f>IFERROR((TRUNC((Z8/W8),0)), "VERIFICA DATELE INTRODUSE")</f>
        <v>11</v>
      </c>
      <c r="AE8" s="143">
        <f>IFERROR($Z8-($W8*$AD8), "VERIFICA DATELE INTRODUSE")</f>
        <v>10</v>
      </c>
      <c r="AF8" s="143">
        <f>IFERROR((TRUNC(((AA8*1000)/P8*Q8),0)), "VERIFICA DATELE INTRODUSE")</f>
        <v>442</v>
      </c>
      <c r="AG8" s="143">
        <f>IFERROR((AF8*AD8), "VERIFICA DATELE INTRODUSE")</f>
        <v>4862</v>
      </c>
      <c r="AH8" s="144">
        <f>IFERROR((AC8/AG8), "VERIFICA DATELE INTRODUSE")</f>
        <v>4.1135335252982311E-2</v>
      </c>
      <c r="AI8" s="145" t="str">
        <f>IF(ProgramCalcul!$H8 = "DA", ProgramCalcul!$AH8*ProgramCalcul!$I8, "-")</f>
        <v>-</v>
      </c>
      <c r="AJ8" s="134" t="s">
        <v>242</v>
      </c>
      <c r="AK8" s="146">
        <f>VLOOKUP(ProgramCalcul!$AJ8,ReferinteTabel!$F$4:$G$11,2,FALSE())</f>
        <v>2.2999999999999998</v>
      </c>
      <c r="AL8" s="147">
        <f>IF(ProgramCalcul!$AJ8 = "&lt;10€/1000 Buc",((AH8*J8)+(J8/1000*10))/J8, (IFERROR((AH8*AK8), "VERIFICA DATELE INTRODUSE")))</f>
        <v>9.4611271081859308E-2</v>
      </c>
      <c r="AM8" s="148" t="str">
        <f>IF(ProgramCalcul!$H8 = "DA", ProgramCalcul!$AL8*ProgramCalcul!$I8, "-")</f>
        <v>-</v>
      </c>
      <c r="AN8" s="149">
        <v>200</v>
      </c>
      <c r="AO8" s="150">
        <v>0.03</v>
      </c>
      <c r="AP8" s="151">
        <v>1500</v>
      </c>
      <c r="AQ8" s="164">
        <f t="shared" si="1"/>
        <v>94.611271081859314</v>
      </c>
    </row>
    <row r="9" spans="1:43" s="151" customFormat="1" ht="14.25" x14ac:dyDescent="0.2">
      <c r="A9" s="130">
        <v>4</v>
      </c>
      <c r="B9" s="131">
        <v>2722</v>
      </c>
      <c r="C9" s="132" t="s">
        <v>250</v>
      </c>
      <c r="D9" s="132"/>
      <c r="E9" s="131"/>
      <c r="F9" s="133">
        <v>2028</v>
      </c>
      <c r="G9" s="132" t="s">
        <v>251</v>
      </c>
      <c r="H9" s="134" t="s">
        <v>84</v>
      </c>
      <c r="I9" s="131">
        <v>1</v>
      </c>
      <c r="J9" s="135">
        <v>32500</v>
      </c>
      <c r="K9" s="135">
        <v>3250</v>
      </c>
      <c r="L9" s="134" t="s">
        <v>113</v>
      </c>
      <c r="M9" s="133">
        <v>113</v>
      </c>
      <c r="N9" s="133">
        <v>219</v>
      </c>
      <c r="O9" s="133">
        <v>2</v>
      </c>
      <c r="P9" s="133">
        <v>118</v>
      </c>
      <c r="Q9" s="133">
        <v>1</v>
      </c>
      <c r="R9" s="133">
        <v>0</v>
      </c>
      <c r="S9" s="133">
        <v>5</v>
      </c>
      <c r="T9" s="136">
        <f>IF(ProgramCalcul!$H9 = "DA", ProgramCalcul!$M9*ProgramCalcul!$N9*ProgramCalcul!$J9/1000000 *ProgramCalcul!$I9, ProgramCalcul!$M9*ProgramCalcul!$N9*ProgramCalcul!$J9/1000000)</f>
        <v>804.27750000000003</v>
      </c>
      <c r="U9" s="137">
        <f>IFERROR(IF(ProgramCalcul!$H9 = "DA", ProgramCalcul!$O9*ProgramCalcul!$N9*ProgramCalcul!$M9*ProgramCalcul!$J9/1000000000*ProgramCalcul!$I9, ProgramCalcul!$O9*ProgramCalcul!$N9*ProgramCalcul!$M9*ProgramCalcul!$J9/1000000000),"-")</f>
        <v>1.608555</v>
      </c>
      <c r="V9" s="138">
        <v>1</v>
      </c>
      <c r="W9" s="139">
        <f>CEILING(N9*Q9+R9*(Q9-1)+2*S9,V9)</f>
        <v>229</v>
      </c>
      <c r="X9" s="140" t="s">
        <v>258</v>
      </c>
      <c r="Y9" s="140" t="s">
        <v>252</v>
      </c>
      <c r="Z9" s="141">
        <v>1000</v>
      </c>
      <c r="AA9" s="141">
        <v>100</v>
      </c>
      <c r="AB9" s="141">
        <f t="shared" si="0"/>
        <v>2</v>
      </c>
      <c r="AC9" s="142">
        <f>IFERROR(((AA9*1000)*Z9/1000000*AB9), "VERIFICA DATELE INTRODUSE")</f>
        <v>200</v>
      </c>
      <c r="AD9" s="143">
        <f>IFERROR((TRUNC((Z9/W9),0)), "VERIFICA DATELE INTRODUSE")</f>
        <v>4</v>
      </c>
      <c r="AE9" s="143">
        <f>IFERROR($Z9-($W9*$AD9), "VERIFICA DATELE INTRODUSE")</f>
        <v>84</v>
      </c>
      <c r="AF9" s="143">
        <f>IFERROR((TRUNC(((AA9*1000)/P9*Q9),0)), "VERIFICA DATELE INTRODUSE")</f>
        <v>847</v>
      </c>
      <c r="AG9" s="143">
        <f>IFERROR((AF9*AD9), "VERIFICA DATELE INTRODUSE")</f>
        <v>3388</v>
      </c>
      <c r="AH9" s="144">
        <f>IFERROR((AC9/AG9), "VERIFICA DATELE INTRODUSE")</f>
        <v>5.9031877213695398E-2</v>
      </c>
      <c r="AI9" s="145" t="str">
        <f>IF(ProgramCalcul!$H9 = "DA", ProgramCalcul!$AH9*ProgramCalcul!$I9, "-")</f>
        <v>-</v>
      </c>
      <c r="AJ9" s="134" t="s">
        <v>242</v>
      </c>
      <c r="AK9" s="146">
        <f>VLOOKUP(ProgramCalcul!$AJ9,ReferinteTabel!$F$4:$G$11,2,FALSE())</f>
        <v>2.2999999999999998</v>
      </c>
      <c r="AL9" s="147">
        <f>IF(ProgramCalcul!$AJ9 = "&lt;10€/1000 Buc",((AH9*J9)+(J9/1000*10))/J9, (IFERROR((AH9*AK9), "VERIFICA DATELE INTRODUSE")))</f>
        <v>0.13577331759149941</v>
      </c>
      <c r="AM9" s="148" t="str">
        <f>IF(ProgramCalcul!$H9 = "DA", ProgramCalcul!$AL9*ProgramCalcul!$I9, "-")</f>
        <v>-</v>
      </c>
      <c r="AN9" s="149">
        <v>200</v>
      </c>
      <c r="AO9" s="150">
        <v>0.03</v>
      </c>
      <c r="AP9" s="151">
        <v>3250</v>
      </c>
      <c r="AQ9" s="164">
        <f t="shared" si="1"/>
        <v>135.77331759149942</v>
      </c>
    </row>
    <row r="10" spans="1:43" s="151" customFormat="1" ht="14.25" x14ac:dyDescent="0.2">
      <c r="A10" s="130">
        <v>5</v>
      </c>
      <c r="B10" s="131">
        <v>2722</v>
      </c>
      <c r="C10" s="132" t="s">
        <v>250</v>
      </c>
      <c r="D10" s="132"/>
      <c r="E10" s="131"/>
      <c r="F10" s="133">
        <v>2028</v>
      </c>
      <c r="G10" s="132" t="s">
        <v>253</v>
      </c>
      <c r="H10" s="134" t="s">
        <v>84</v>
      </c>
      <c r="I10" s="131">
        <v>1</v>
      </c>
      <c r="J10" s="135"/>
      <c r="K10" s="135">
        <v>10</v>
      </c>
      <c r="L10" s="134" t="s">
        <v>85</v>
      </c>
      <c r="M10" s="133">
        <v>100000</v>
      </c>
      <c r="N10" s="133">
        <v>10</v>
      </c>
      <c r="O10" s="133"/>
      <c r="P10" s="133">
        <v>100000</v>
      </c>
      <c r="Q10" s="133">
        <v>1</v>
      </c>
      <c r="R10" s="133">
        <v>0</v>
      </c>
      <c r="S10" s="133">
        <v>1</v>
      </c>
      <c r="T10" s="136">
        <f>IF(ProgramCalcul!$H10 = "DA", ProgramCalcul!$M10*ProgramCalcul!$N10*ProgramCalcul!$J10/1000000 *ProgramCalcul!$I10, ProgramCalcul!$M10*ProgramCalcul!$N10*ProgramCalcul!$J10/1000000)</f>
        <v>0</v>
      </c>
      <c r="U10" s="137">
        <f>IFERROR(IF(ProgramCalcul!$H10 = "DA", ProgramCalcul!$O10*ProgramCalcul!$N10*ProgramCalcul!$M10*ProgramCalcul!$J10/1000000000*ProgramCalcul!$I10, ProgramCalcul!$O10*ProgramCalcul!$N10*ProgramCalcul!$M10*ProgramCalcul!$J10/1000000000),"-")</f>
        <v>0</v>
      </c>
      <c r="V10" s="138">
        <v>1</v>
      </c>
      <c r="W10" s="139">
        <f>CEILING(N10*Q10+R10*(Q10-1)+2*S10,V10)</f>
        <v>12</v>
      </c>
      <c r="X10" s="140" t="s">
        <v>254</v>
      </c>
      <c r="Y10" s="140" t="s">
        <v>254</v>
      </c>
      <c r="Z10" s="141">
        <v>1050</v>
      </c>
      <c r="AA10" s="141">
        <v>100</v>
      </c>
      <c r="AB10" s="141">
        <f>6.5</f>
        <v>6.5</v>
      </c>
      <c r="AC10" s="142">
        <f>IFERROR(((AA10*1000)*Z10/1000000*AB10), "VERIFICA DATELE INTRODUSE")</f>
        <v>682.5</v>
      </c>
      <c r="AD10" s="143">
        <f>IFERROR((TRUNC((Z10/W10),0)), "VERIFICA DATELE INTRODUSE")</f>
        <v>87</v>
      </c>
      <c r="AE10" s="143">
        <f>IFERROR($Z10-($W10*$AD10), "VERIFICA DATELE INTRODUSE")</f>
        <v>6</v>
      </c>
      <c r="AF10" s="143">
        <f>IFERROR((TRUNC(((AA10*1000)/P10*Q10),0)), "VERIFICA DATELE INTRODUSE")</f>
        <v>1</v>
      </c>
      <c r="AG10" s="143">
        <f>IFERROR((AF10*AD10), "VERIFICA DATELE INTRODUSE")</f>
        <v>87</v>
      </c>
      <c r="AH10" s="144">
        <f>IFERROR((AC10/AG10), "VERIFICA DATELE INTRODUSE")</f>
        <v>7.8448275862068968</v>
      </c>
      <c r="AI10" s="145" t="str">
        <f>IF(ProgramCalcul!$H10 = "DA", ProgramCalcul!$AH10*ProgramCalcul!$I10, "-")</f>
        <v>-</v>
      </c>
      <c r="AJ10" s="134" t="s">
        <v>242</v>
      </c>
      <c r="AK10" s="146">
        <f>VLOOKUP(ProgramCalcul!$AJ10,ReferinteTabel!$F$4:$G$11,2,FALSE())</f>
        <v>2.2999999999999998</v>
      </c>
      <c r="AL10" s="147">
        <f>IF(ProgramCalcul!$AJ10 = "&lt;10€/1000 Buc",((AH10*J10)+(J10/1000*10))/J10, (IFERROR((AH10*AK10), "VERIFICA DATELE INTRODUSE")))</f>
        <v>18.043103448275861</v>
      </c>
      <c r="AM10" s="148" t="str">
        <f>IF(ProgramCalcul!$H10 = "DA", ProgramCalcul!$AL10*ProgramCalcul!$I10, "-")</f>
        <v>-</v>
      </c>
      <c r="AN10" s="149">
        <v>200</v>
      </c>
      <c r="AO10" s="150">
        <v>0.03</v>
      </c>
      <c r="AP10" s="151">
        <v>10</v>
      </c>
      <c r="AQ10" s="164">
        <f t="shared" si="1"/>
        <v>18043.103448275862</v>
      </c>
    </row>
    <row r="11" spans="1:43" x14ac:dyDescent="0.25">
      <c r="A11" s="12"/>
      <c r="B11" s="13"/>
      <c r="C11" s="14"/>
      <c r="D11" s="14"/>
      <c r="E11" s="13"/>
      <c r="F11" s="15"/>
      <c r="G11" s="14"/>
      <c r="H11" s="16"/>
      <c r="I11" s="13"/>
      <c r="J11" s="17"/>
      <c r="K11" s="17"/>
      <c r="L11" s="16"/>
      <c r="M11" s="15"/>
      <c r="N11" s="15"/>
      <c r="O11" s="15"/>
      <c r="P11" s="15"/>
      <c r="Q11" s="15"/>
      <c r="R11" s="15"/>
      <c r="S11" s="15"/>
      <c r="T11" s="18"/>
      <c r="U11" s="19"/>
      <c r="V11" s="20"/>
      <c r="W11" s="21"/>
      <c r="X11" s="33"/>
      <c r="Y11" s="22"/>
      <c r="Z11" s="23"/>
      <c r="AA11" s="23"/>
      <c r="AB11" s="23"/>
      <c r="AC11" s="24"/>
      <c r="AD11" s="25"/>
      <c r="AE11" s="25"/>
      <c r="AF11" s="25"/>
      <c r="AG11" s="25"/>
      <c r="AH11" s="26"/>
      <c r="AI11" s="27"/>
      <c r="AJ11" s="16"/>
      <c r="AK11" s="28"/>
      <c r="AL11" s="29"/>
      <c r="AM11" s="30"/>
      <c r="AN11" s="31"/>
      <c r="AO11" s="32"/>
    </row>
    <row r="12" spans="1:43" x14ac:dyDescent="0.25">
      <c r="A12" s="12"/>
      <c r="B12" s="13"/>
      <c r="C12" s="14"/>
      <c r="D12" s="14"/>
      <c r="E12" s="13"/>
      <c r="F12" s="15"/>
      <c r="G12" s="14"/>
      <c r="H12" s="16"/>
      <c r="I12" s="13"/>
      <c r="J12" s="17"/>
      <c r="K12" s="17"/>
      <c r="L12" s="16"/>
      <c r="M12" s="15"/>
      <c r="N12" s="15"/>
      <c r="O12" s="15"/>
      <c r="P12" s="15"/>
      <c r="Q12" s="15"/>
      <c r="R12" s="15"/>
      <c r="S12" s="15"/>
      <c r="T12" s="18"/>
      <c r="U12" s="19"/>
      <c r="V12" s="20"/>
      <c r="W12" s="21"/>
      <c r="X12" s="22"/>
      <c r="Y12" s="22"/>
      <c r="Z12" s="23"/>
      <c r="AA12" s="23"/>
      <c r="AB12" s="23"/>
      <c r="AC12" s="24"/>
      <c r="AD12" s="25"/>
      <c r="AE12" s="25"/>
      <c r="AF12" s="25"/>
      <c r="AG12" s="25"/>
      <c r="AH12" s="26"/>
      <c r="AI12" s="27"/>
      <c r="AJ12" s="16"/>
      <c r="AK12" s="28"/>
      <c r="AL12" s="29"/>
      <c r="AM12" s="30"/>
      <c r="AN12" s="31"/>
      <c r="AO12" s="32"/>
    </row>
    <row r="13" spans="1:43" x14ac:dyDescent="0.25">
      <c r="A13" s="12"/>
      <c r="B13" s="13"/>
      <c r="C13" s="14"/>
      <c r="D13" s="14"/>
      <c r="E13" s="13"/>
      <c r="F13" s="15"/>
      <c r="G13" s="14"/>
      <c r="H13" s="16"/>
      <c r="I13" s="13"/>
      <c r="J13" s="17"/>
      <c r="K13" s="17"/>
      <c r="L13" s="16"/>
      <c r="M13" s="15"/>
      <c r="N13" s="15"/>
      <c r="O13" s="15"/>
      <c r="P13" s="15"/>
      <c r="Q13" s="15"/>
      <c r="R13" s="15"/>
      <c r="S13" s="15"/>
      <c r="T13" s="18"/>
      <c r="U13" s="19"/>
      <c r="V13" s="20"/>
      <c r="W13" s="21"/>
      <c r="X13" s="33"/>
      <c r="Y13" s="22"/>
      <c r="Z13" s="23"/>
      <c r="AA13" s="23"/>
      <c r="AB13" s="23"/>
      <c r="AC13" s="24"/>
      <c r="AD13" s="25"/>
      <c r="AE13" s="25"/>
      <c r="AF13" s="25"/>
      <c r="AG13" s="25"/>
      <c r="AH13" s="26"/>
      <c r="AI13" s="27"/>
      <c r="AJ13" s="16"/>
      <c r="AK13" s="28"/>
      <c r="AL13" s="29"/>
      <c r="AM13" s="30"/>
      <c r="AN13" s="31"/>
      <c r="AO13" s="32"/>
    </row>
    <row r="14" spans="1:43" x14ac:dyDescent="0.25">
      <c r="A14" s="12"/>
      <c r="B14" s="13"/>
      <c r="C14" s="14"/>
      <c r="D14" s="14"/>
      <c r="E14" s="13"/>
      <c r="F14" s="15"/>
      <c r="G14" s="14"/>
      <c r="H14" s="16"/>
      <c r="I14" s="13"/>
      <c r="J14" s="17"/>
      <c r="K14" s="17"/>
      <c r="L14" s="16"/>
      <c r="M14" s="15"/>
      <c r="N14" s="15"/>
      <c r="O14" s="15"/>
      <c r="P14" s="15"/>
      <c r="Q14" s="15"/>
      <c r="R14" s="15"/>
      <c r="S14" s="15"/>
      <c r="T14" s="18"/>
      <c r="U14" s="19"/>
      <c r="V14" s="20"/>
      <c r="W14" s="21"/>
      <c r="X14" s="33"/>
      <c r="Y14" s="22"/>
      <c r="Z14" s="23"/>
      <c r="AA14" s="23"/>
      <c r="AB14" s="23"/>
      <c r="AC14" s="24"/>
      <c r="AD14" s="25"/>
      <c r="AE14" s="25"/>
      <c r="AF14" s="25"/>
      <c r="AG14" s="25"/>
      <c r="AH14" s="26"/>
      <c r="AI14" s="27"/>
      <c r="AJ14" s="16"/>
      <c r="AK14" s="28"/>
      <c r="AL14" s="29"/>
      <c r="AM14" s="30"/>
      <c r="AN14" s="31"/>
      <c r="AO14" s="32"/>
    </row>
    <row r="15" spans="1:43" x14ac:dyDescent="0.25">
      <c r="A15" s="12"/>
      <c r="B15" s="13"/>
      <c r="C15" s="14"/>
      <c r="D15" s="14"/>
      <c r="E15" s="13"/>
      <c r="F15" s="15"/>
      <c r="G15" s="14"/>
      <c r="H15" s="16"/>
      <c r="I15" s="13"/>
      <c r="J15" s="17"/>
      <c r="K15" s="17"/>
      <c r="L15" s="16"/>
      <c r="M15" s="15"/>
      <c r="N15" s="15"/>
      <c r="O15" s="15"/>
      <c r="P15" s="15"/>
      <c r="Q15" s="15"/>
      <c r="R15" s="15"/>
      <c r="S15" s="15"/>
      <c r="T15" s="18"/>
      <c r="U15" s="19"/>
      <c r="V15" s="20"/>
      <c r="W15" s="21"/>
      <c r="X15" s="33"/>
      <c r="Y15" s="22"/>
      <c r="Z15" s="23"/>
      <c r="AA15" s="23"/>
      <c r="AB15" s="23"/>
      <c r="AC15" s="24"/>
      <c r="AD15" s="25"/>
      <c r="AE15" s="25"/>
      <c r="AF15" s="25"/>
      <c r="AG15" s="25"/>
      <c r="AH15" s="26"/>
      <c r="AI15" s="27"/>
      <c r="AJ15" s="16"/>
      <c r="AK15" s="28"/>
      <c r="AL15" s="29"/>
      <c r="AM15" s="30"/>
      <c r="AN15" s="31"/>
      <c r="AO15" s="32"/>
    </row>
    <row r="16" spans="1:43" x14ac:dyDescent="0.25">
      <c r="A16" s="12"/>
      <c r="B16" s="13"/>
      <c r="C16" s="14"/>
      <c r="D16" s="14"/>
      <c r="E16" s="13"/>
      <c r="F16" s="15"/>
      <c r="G16" s="14"/>
      <c r="H16" s="16"/>
      <c r="I16" s="13"/>
      <c r="J16" s="17"/>
      <c r="K16" s="17"/>
      <c r="L16" s="16"/>
      <c r="M16" s="15"/>
      <c r="N16" s="15"/>
      <c r="O16" s="15"/>
      <c r="P16" s="15"/>
      <c r="Q16" s="15"/>
      <c r="R16" s="15"/>
      <c r="S16" s="15"/>
      <c r="T16" s="18"/>
      <c r="U16" s="19"/>
      <c r="V16" s="20"/>
      <c r="W16" s="21"/>
      <c r="X16" s="22"/>
      <c r="Y16" s="22"/>
      <c r="Z16" s="34"/>
      <c r="AA16" s="34"/>
      <c r="AB16" s="34"/>
      <c r="AC16" s="24"/>
      <c r="AD16" s="25"/>
      <c r="AE16" s="25"/>
      <c r="AF16" s="25"/>
      <c r="AG16" s="25"/>
      <c r="AH16" s="26"/>
      <c r="AI16" s="27"/>
      <c r="AJ16" s="16"/>
      <c r="AK16" s="28"/>
      <c r="AL16" s="35"/>
      <c r="AM16" s="30"/>
      <c r="AN16" s="31"/>
      <c r="AO16" s="32"/>
    </row>
    <row r="17" spans="1:41" x14ac:dyDescent="0.25">
      <c r="A17" s="12"/>
      <c r="B17" s="13"/>
      <c r="C17" s="14"/>
      <c r="D17" s="14"/>
      <c r="E17" s="13"/>
      <c r="F17" s="15"/>
      <c r="G17" s="14"/>
      <c r="H17" s="16"/>
      <c r="I17" s="13"/>
      <c r="J17" s="17"/>
      <c r="K17" s="17"/>
      <c r="L17" s="16"/>
      <c r="M17" s="15"/>
      <c r="N17" s="15"/>
      <c r="O17" s="15"/>
      <c r="P17" s="15"/>
      <c r="Q17" s="15"/>
      <c r="R17" s="15"/>
      <c r="S17" s="15"/>
      <c r="T17" s="18"/>
      <c r="U17" s="19"/>
      <c r="V17" s="20"/>
      <c r="W17" s="21"/>
      <c r="X17" s="22"/>
      <c r="Y17" s="22"/>
      <c r="Z17" s="34"/>
      <c r="AA17" s="34"/>
      <c r="AB17" s="34"/>
      <c r="AC17" s="24"/>
      <c r="AD17" s="25"/>
      <c r="AE17" s="25"/>
      <c r="AF17" s="25"/>
      <c r="AG17" s="25"/>
      <c r="AH17" s="26"/>
      <c r="AI17" s="27"/>
      <c r="AJ17" s="16"/>
      <c r="AK17" s="28"/>
      <c r="AL17" s="35"/>
      <c r="AM17" s="30"/>
      <c r="AN17" s="31"/>
      <c r="AO17" s="32"/>
    </row>
    <row r="18" spans="1:41" x14ac:dyDescent="0.25">
      <c r="A18" s="12"/>
      <c r="B18" s="13"/>
      <c r="C18" s="14"/>
      <c r="D18" s="14"/>
      <c r="E18" s="13"/>
      <c r="F18" s="15"/>
      <c r="G18" s="14"/>
      <c r="H18" s="16"/>
      <c r="I18" s="13"/>
      <c r="J18" s="17"/>
      <c r="K18" s="17"/>
      <c r="L18" s="16"/>
      <c r="M18" s="15"/>
      <c r="N18" s="15"/>
      <c r="O18" s="15"/>
      <c r="P18" s="15"/>
      <c r="Q18" s="15"/>
      <c r="R18" s="15"/>
      <c r="S18" s="15"/>
      <c r="T18" s="18"/>
      <c r="U18" s="19"/>
      <c r="V18" s="20"/>
      <c r="W18" s="21"/>
      <c r="X18" s="22"/>
      <c r="Y18" s="22"/>
      <c r="Z18" s="34"/>
      <c r="AA18" s="34"/>
      <c r="AB18" s="34"/>
      <c r="AC18" s="24"/>
      <c r="AD18" s="25"/>
      <c r="AE18" s="25"/>
      <c r="AF18" s="25"/>
      <c r="AG18" s="25"/>
      <c r="AH18" s="26"/>
      <c r="AI18" s="27"/>
      <c r="AJ18" s="16"/>
      <c r="AK18" s="28"/>
      <c r="AL18" s="35"/>
      <c r="AM18" s="30"/>
      <c r="AN18" s="31"/>
      <c r="AO18" s="32"/>
    </row>
    <row r="19" spans="1:41" x14ac:dyDescent="0.25">
      <c r="A19" s="12"/>
      <c r="B19" s="12"/>
      <c r="C19" s="12"/>
      <c r="D19" s="36"/>
      <c r="E19" s="12"/>
      <c r="F19" s="12"/>
      <c r="G19" s="37"/>
      <c r="H19" s="16"/>
      <c r="I19" s="38"/>
      <c r="J19" s="38"/>
      <c r="K19" s="39"/>
      <c r="L19" s="16"/>
      <c r="M19" s="40"/>
      <c r="N19" s="40"/>
      <c r="O19" s="40"/>
      <c r="P19" s="40"/>
      <c r="Q19" s="38"/>
      <c r="R19" s="38"/>
      <c r="S19" s="39"/>
      <c r="T19" s="18"/>
      <c r="U19" s="19"/>
      <c r="V19" s="20"/>
      <c r="W19" s="21"/>
      <c r="X19" s="41"/>
      <c r="Y19" s="41"/>
      <c r="Z19" s="38"/>
      <c r="AA19" s="38"/>
      <c r="AB19" s="42"/>
      <c r="AC19" s="24"/>
      <c r="AD19" s="25"/>
      <c r="AE19" s="25"/>
      <c r="AF19" s="25"/>
      <c r="AG19" s="25"/>
      <c r="AH19" s="26"/>
      <c r="AI19" s="27"/>
      <c r="AJ19" s="16"/>
      <c r="AK19" s="28"/>
      <c r="AL19" s="35"/>
      <c r="AM19" s="30"/>
      <c r="AN19" s="31"/>
      <c r="AO19" s="32"/>
    </row>
    <row r="20" spans="1:41" x14ac:dyDescent="0.25">
      <c r="A20" s="12"/>
      <c r="B20" s="12"/>
      <c r="C20" s="12"/>
      <c r="D20" s="36"/>
      <c r="E20" s="12"/>
      <c r="F20" s="12"/>
      <c r="G20" s="37"/>
      <c r="H20" s="16"/>
      <c r="I20" s="38"/>
      <c r="J20" s="38"/>
      <c r="K20" s="39"/>
      <c r="L20" s="16"/>
      <c r="M20" s="40"/>
      <c r="N20" s="40"/>
      <c r="O20" s="40"/>
      <c r="P20" s="40"/>
      <c r="Q20" s="38"/>
      <c r="R20" s="38"/>
      <c r="S20" s="39"/>
      <c r="T20" s="18"/>
      <c r="U20" s="19"/>
      <c r="V20" s="20"/>
      <c r="W20" s="21"/>
      <c r="X20" s="41"/>
      <c r="Y20" s="41"/>
      <c r="Z20" s="38"/>
      <c r="AA20" s="38"/>
      <c r="AB20" s="42"/>
      <c r="AC20" s="24"/>
      <c r="AD20" s="25"/>
      <c r="AE20" s="25"/>
      <c r="AF20" s="25"/>
      <c r="AG20" s="25"/>
      <c r="AH20" s="26"/>
      <c r="AI20" s="27"/>
      <c r="AJ20" s="16"/>
      <c r="AK20" s="28"/>
      <c r="AL20" s="35"/>
      <c r="AM20" s="30"/>
      <c r="AN20" s="31"/>
      <c r="AO20" s="32"/>
    </row>
    <row r="21" spans="1:41" x14ac:dyDescent="0.25">
      <c r="A21" s="12"/>
      <c r="B21" s="12"/>
      <c r="C21" s="12"/>
      <c r="D21" s="36"/>
      <c r="E21" s="12"/>
      <c r="F21" s="12"/>
      <c r="G21" s="37"/>
      <c r="H21" s="16"/>
      <c r="I21" s="38"/>
      <c r="J21" s="38"/>
      <c r="K21" s="39"/>
      <c r="L21" s="16"/>
      <c r="M21" s="40"/>
      <c r="N21" s="40"/>
      <c r="O21" s="40"/>
      <c r="P21" s="40"/>
      <c r="Q21" s="38"/>
      <c r="R21" s="38"/>
      <c r="S21" s="39"/>
      <c r="T21" s="18"/>
      <c r="U21" s="19"/>
      <c r="V21" s="20"/>
      <c r="W21" s="21"/>
      <c r="X21" s="41"/>
      <c r="Y21" s="41"/>
      <c r="Z21" s="38"/>
      <c r="AA21" s="38"/>
      <c r="AB21" s="42"/>
      <c r="AC21" s="24"/>
      <c r="AD21" s="25"/>
      <c r="AE21" s="25"/>
      <c r="AF21" s="25"/>
      <c r="AG21" s="25"/>
      <c r="AH21" s="26"/>
      <c r="AI21" s="27"/>
      <c r="AJ21" s="16"/>
      <c r="AK21" s="28"/>
      <c r="AL21" s="35"/>
      <c r="AM21" s="30"/>
      <c r="AN21" s="31"/>
      <c r="AO21" s="32"/>
    </row>
    <row r="22" spans="1:41" x14ac:dyDescent="0.25">
      <c r="A22" s="12"/>
      <c r="B22" s="12"/>
      <c r="C22" s="12"/>
      <c r="D22" s="36"/>
      <c r="E22" s="12"/>
      <c r="F22" s="12"/>
      <c r="G22" s="37"/>
      <c r="H22" s="16"/>
      <c r="I22" s="38"/>
      <c r="J22" s="38"/>
      <c r="K22" s="39"/>
      <c r="L22" s="16"/>
      <c r="M22" s="40"/>
      <c r="N22" s="40"/>
      <c r="O22" s="40"/>
      <c r="P22" s="40"/>
      <c r="Q22" s="38"/>
      <c r="R22" s="38"/>
      <c r="S22" s="39"/>
      <c r="T22" s="18"/>
      <c r="U22" s="19"/>
      <c r="V22" s="20"/>
      <c r="W22" s="21"/>
      <c r="X22" s="41"/>
      <c r="Y22" s="41"/>
      <c r="Z22" s="38"/>
      <c r="AA22" s="38"/>
      <c r="AB22" s="42"/>
      <c r="AC22" s="24"/>
      <c r="AD22" s="25"/>
      <c r="AE22" s="25"/>
      <c r="AF22" s="25"/>
      <c r="AG22" s="25"/>
      <c r="AH22" s="26"/>
      <c r="AI22" s="27"/>
      <c r="AJ22" s="16"/>
      <c r="AK22" s="28"/>
      <c r="AL22" s="35"/>
      <c r="AM22" s="30"/>
      <c r="AN22" s="31"/>
      <c r="AO22" s="32"/>
    </row>
    <row r="23" spans="1:41" x14ac:dyDescent="0.25">
      <c r="A23" s="12"/>
      <c r="B23" s="12"/>
      <c r="C23" s="12"/>
      <c r="D23" s="36"/>
      <c r="E23" s="12"/>
      <c r="F23" s="12"/>
      <c r="G23" s="37"/>
      <c r="H23" s="16"/>
      <c r="I23" s="38"/>
      <c r="J23" s="38"/>
      <c r="K23" s="39"/>
      <c r="L23" s="16"/>
      <c r="M23" s="40"/>
      <c r="N23" s="40"/>
      <c r="O23" s="40"/>
      <c r="P23" s="40"/>
      <c r="Q23" s="38"/>
      <c r="R23" s="38"/>
      <c r="S23" s="39"/>
      <c r="T23" s="18"/>
      <c r="U23" s="19"/>
      <c r="V23" s="20"/>
      <c r="W23" s="21"/>
      <c r="X23" s="41"/>
      <c r="Y23" s="41"/>
      <c r="Z23" s="38"/>
      <c r="AA23" s="38"/>
      <c r="AB23" s="42"/>
      <c r="AC23" s="24"/>
      <c r="AD23" s="25"/>
      <c r="AE23" s="25"/>
      <c r="AF23" s="25"/>
      <c r="AG23" s="25"/>
      <c r="AH23" s="26"/>
      <c r="AI23" s="27"/>
      <c r="AJ23" s="16"/>
      <c r="AK23" s="28"/>
      <c r="AL23" s="35"/>
      <c r="AM23" s="30"/>
      <c r="AN23" s="31"/>
      <c r="AO23" s="32"/>
    </row>
    <row r="24" spans="1:41" x14ac:dyDescent="0.25">
      <c r="A24" s="12"/>
      <c r="B24" s="12"/>
      <c r="C24" s="12"/>
      <c r="D24" s="36"/>
      <c r="E24" s="12"/>
      <c r="F24" s="12"/>
      <c r="G24" s="37"/>
      <c r="H24" s="16"/>
      <c r="I24" s="38"/>
      <c r="J24" s="38"/>
      <c r="K24" s="39"/>
      <c r="L24" s="16"/>
      <c r="M24" s="40"/>
      <c r="N24" s="40"/>
      <c r="O24" s="40"/>
      <c r="P24" s="40"/>
      <c r="Q24" s="38"/>
      <c r="R24" s="38"/>
      <c r="S24" s="39"/>
      <c r="T24" s="18"/>
      <c r="U24" s="19"/>
      <c r="V24" s="20"/>
      <c r="W24" s="21"/>
      <c r="X24" s="41"/>
      <c r="Y24" s="41"/>
      <c r="Z24" s="38"/>
      <c r="AA24" s="38"/>
      <c r="AB24" s="42"/>
      <c r="AC24" s="24"/>
      <c r="AD24" s="25"/>
      <c r="AE24" s="25"/>
      <c r="AF24" s="25"/>
      <c r="AG24" s="25"/>
      <c r="AH24" s="26"/>
      <c r="AI24" s="27"/>
      <c r="AJ24" s="16"/>
      <c r="AK24" s="28"/>
      <c r="AL24" s="35"/>
      <c r="AM24" s="30"/>
      <c r="AN24" s="31"/>
      <c r="AO24" s="32"/>
    </row>
    <row r="25" spans="1:41" x14ac:dyDescent="0.25">
      <c r="A25" s="12"/>
      <c r="B25" s="12"/>
      <c r="C25" s="12"/>
      <c r="D25" s="36"/>
      <c r="E25" s="12"/>
      <c r="F25" s="12"/>
      <c r="G25" s="37"/>
      <c r="H25" s="16"/>
      <c r="I25" s="38"/>
      <c r="J25" s="38"/>
      <c r="K25" s="39"/>
      <c r="L25" s="16"/>
      <c r="M25" s="40"/>
      <c r="N25" s="40"/>
      <c r="O25" s="40"/>
      <c r="P25" s="40"/>
      <c r="Q25" s="38"/>
      <c r="R25" s="38"/>
      <c r="S25" s="39"/>
      <c r="T25" s="18"/>
      <c r="U25" s="19"/>
      <c r="V25" s="20"/>
      <c r="W25" s="21"/>
      <c r="X25" s="41"/>
      <c r="Y25" s="41"/>
      <c r="Z25" s="38"/>
      <c r="AA25" s="38"/>
      <c r="AB25" s="42"/>
      <c r="AC25" s="24"/>
      <c r="AD25" s="25"/>
      <c r="AE25" s="25"/>
      <c r="AF25" s="25"/>
      <c r="AG25" s="25"/>
      <c r="AH25" s="26"/>
      <c r="AI25" s="27"/>
      <c r="AJ25" s="16"/>
      <c r="AK25" s="28"/>
      <c r="AL25" s="35"/>
      <c r="AM25" s="30"/>
      <c r="AN25" s="31"/>
      <c r="AO25" s="32"/>
    </row>
    <row r="26" spans="1:41" x14ac:dyDescent="0.25">
      <c r="A26" s="12"/>
      <c r="B26" s="12"/>
      <c r="C26" s="12"/>
      <c r="D26" s="36"/>
      <c r="E26" s="12"/>
      <c r="F26" s="12"/>
      <c r="G26" s="37"/>
      <c r="H26" s="16"/>
      <c r="I26" s="38"/>
      <c r="J26" s="38"/>
      <c r="K26" s="39"/>
      <c r="L26" s="16"/>
      <c r="M26" s="40"/>
      <c r="N26" s="40"/>
      <c r="O26" s="40"/>
      <c r="P26" s="40"/>
      <c r="Q26" s="38"/>
      <c r="R26" s="38"/>
      <c r="S26" s="39"/>
      <c r="T26" s="18"/>
      <c r="U26" s="19"/>
      <c r="V26" s="20"/>
      <c r="W26" s="21"/>
      <c r="X26" s="41"/>
      <c r="Y26" s="41"/>
      <c r="Z26" s="38"/>
      <c r="AA26" s="38"/>
      <c r="AB26" s="42"/>
      <c r="AC26" s="24"/>
      <c r="AD26" s="25"/>
      <c r="AE26" s="25"/>
      <c r="AF26" s="25"/>
      <c r="AG26" s="25"/>
      <c r="AH26" s="26"/>
      <c r="AI26" s="27"/>
      <c r="AJ26" s="16"/>
      <c r="AK26" s="28"/>
      <c r="AL26" s="35"/>
      <c r="AM26" s="30"/>
      <c r="AN26" s="31"/>
      <c r="AO26" s="32"/>
    </row>
    <row r="27" spans="1:41" x14ac:dyDescent="0.25">
      <c r="A27" s="12"/>
      <c r="B27" s="12"/>
      <c r="C27" s="12"/>
      <c r="D27" s="12"/>
      <c r="E27" s="12"/>
      <c r="F27" s="12"/>
      <c r="G27" s="43"/>
      <c r="H27" s="16"/>
      <c r="I27" s="38"/>
      <c r="J27" s="38"/>
      <c r="K27" s="39"/>
      <c r="L27" s="16"/>
      <c r="M27" s="40"/>
      <c r="N27" s="40"/>
      <c r="O27" s="40"/>
      <c r="P27" s="40"/>
      <c r="Q27" s="38"/>
      <c r="R27" s="38"/>
      <c r="S27" s="39"/>
      <c r="T27" s="18"/>
      <c r="U27" s="19"/>
      <c r="V27" s="20"/>
      <c r="W27" s="21"/>
      <c r="X27" s="16"/>
      <c r="Y27" s="41"/>
      <c r="Z27" s="38"/>
      <c r="AA27" s="38"/>
      <c r="AB27" s="42"/>
      <c r="AC27" s="24"/>
      <c r="AD27" s="25"/>
      <c r="AE27" s="25"/>
      <c r="AF27" s="25"/>
      <c r="AG27" s="25"/>
      <c r="AH27" s="26"/>
      <c r="AI27" s="27"/>
      <c r="AJ27" s="16"/>
      <c r="AK27" s="28"/>
      <c r="AL27" s="35"/>
      <c r="AM27" s="30"/>
      <c r="AN27" s="31"/>
      <c r="AO27" s="32"/>
    </row>
    <row r="28" spans="1:41" ht="18" customHeight="1" x14ac:dyDescent="0.25">
      <c r="A28" s="154" t="s">
        <v>87</v>
      </c>
      <c r="B28" s="154"/>
      <c r="C28" s="154"/>
      <c r="D28" s="154"/>
      <c r="E28" s="154"/>
      <c r="F28" s="154"/>
      <c r="G28" s="154"/>
      <c r="H28" s="44"/>
      <c r="I28" s="44"/>
      <c r="J28" s="45">
        <f>SUM(J6:J10)</f>
        <v>175500</v>
      </c>
      <c r="K28" s="45">
        <f>SUM(K6:K10)</f>
        <v>17560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6">
        <f>AVERAGE(AH6:AH10)</f>
        <v>1.6244680245536247</v>
      </c>
      <c r="AI28" s="44"/>
      <c r="AJ28" s="44"/>
      <c r="AK28" s="44"/>
      <c r="AL28" s="47">
        <f>IFERROR(AVERAGEIF(AL6:AL10,"&lt;&gt;-"),"N/A")</f>
        <v>3.7362764564733366</v>
      </c>
      <c r="AM28" s="44"/>
      <c r="AN28" s="44"/>
      <c r="AO28" s="48">
        <f>AVERAGE(AO6:AO10)</f>
        <v>0.03</v>
      </c>
    </row>
    <row r="29" spans="1:41" ht="12.75" customHeight="1" x14ac:dyDescent="0.25"/>
    <row r="30" spans="1:41" ht="13.5" customHeight="1" x14ac:dyDescent="0.25">
      <c r="A30" s="155" t="s">
        <v>88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 ht="13.5" customHeight="1" x14ac:dyDescent="0.25">
      <c r="A31" s="156"/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</row>
    <row r="35" spans="36:36" x14ac:dyDescent="0.25">
      <c r="AJ35" s="49"/>
    </row>
  </sheetData>
  <mergeCells count="5">
    <mergeCell ref="A1:AO1"/>
    <mergeCell ref="A2:AO2"/>
    <mergeCell ref="A28:G28"/>
    <mergeCell ref="A30:AO30"/>
    <mergeCell ref="A31:AO31"/>
  </mergeCells>
  <phoneticPr fontId="42" type="noConversion"/>
  <dataValidations count="1">
    <dataValidation type="list" allowBlank="1" showInputMessage="1" showErrorMessage="1" sqref="H6:H27" xr:uid="{00000000-0002-0000-0000-000000000000}">
      <formula1>"Da,NU"</formula1>
      <formula2>0</formula2>
    </dataValidation>
  </dataValidations>
  <pageMargins left="0.4" right="0.4" top="0.6" bottom="0.6" header="0.511811023622047" footer="0.511811023622047"/>
  <pageSetup paperSize="9" fitToHeight="0" orientation="landscape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77AEFC-4ABF-48A1-87C2-985BB5F5F25C}">
          <x14:formula1>
            <xm:f>ReferinteTabel!$F$4:$F$12</xm:f>
          </x14:formula1>
          <xm:sqref>AJ6:AJ10</xm:sqref>
        </x14:dataValidation>
        <x14:dataValidation type="list" allowBlank="1" showInputMessage="1" showErrorMessage="1" xr:uid="{006531EE-75C7-4CA8-AD31-35A81DDB61CB}">
          <x14:formula1>
            <xm:f>ReferinteTabel!$B$4:$B$38</xm:f>
          </x14:formula1>
          <xm:sqref>L6:L10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DEADA"/>
  </sheetPr>
  <dimension ref="A1:U285"/>
  <sheetViews>
    <sheetView showGridLines="0" zoomScale="80" zoomScaleNormal="80" workbookViewId="0">
      <pane ySplit="2" topLeftCell="A167" activePane="bottomLeft" state="frozen"/>
      <selection pane="bottomLeft" activeCell="H175" sqref="H175"/>
    </sheetView>
  </sheetViews>
  <sheetFormatPr defaultColWidth="8.7109375" defaultRowHeight="15" x14ac:dyDescent="0.25"/>
  <cols>
    <col min="1" max="1" width="21.28515625" customWidth="1"/>
    <col min="2" max="2" width="9.28515625" customWidth="1"/>
    <col min="3" max="3" width="20" customWidth="1"/>
    <col min="4" max="4" width="14" customWidth="1"/>
    <col min="5" max="5" width="12.85546875" customWidth="1"/>
    <col min="6" max="6" width="24.5703125" customWidth="1"/>
    <col min="7" max="7" width="12.28515625" customWidth="1"/>
    <col min="8" max="8" width="10" customWidth="1"/>
    <col min="9" max="9" width="9.85546875" customWidth="1"/>
    <col min="10" max="10" width="14" customWidth="1"/>
    <col min="11" max="12" width="10" customWidth="1"/>
    <col min="13" max="13" width="12.28515625" customWidth="1"/>
    <col min="14" max="14" width="12.42578125" customWidth="1"/>
    <col min="15" max="18" width="10.7109375" customWidth="1"/>
    <col min="19" max="19" width="14" customWidth="1"/>
    <col min="20" max="21" width="10" customWidth="1"/>
  </cols>
  <sheetData>
    <row r="1" spans="1:21" ht="16.5" customHeight="1" x14ac:dyDescent="0.25">
      <c r="A1" s="152" t="s">
        <v>89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</row>
    <row r="2" spans="1:21" s="50" customFormat="1" ht="15.75" customHeight="1" x14ac:dyDescent="0.25"/>
    <row r="3" spans="1:21" hidden="1" x14ac:dyDescent="0.25"/>
    <row r="4" spans="1:21" hidden="1" x14ac:dyDescent="0.25"/>
    <row r="5" spans="1:21" hidden="1" x14ac:dyDescent="0.25"/>
    <row r="6" spans="1:21" s="51" customFormat="1" hidden="1" x14ac:dyDescent="0.25"/>
    <row r="7" spans="1:21" hidden="1" x14ac:dyDescent="0.25"/>
    <row r="8" spans="1:21" hidden="1" x14ac:dyDescent="0.25"/>
    <row r="9" spans="1:21" hidden="1" x14ac:dyDescent="0.25"/>
    <row r="10" spans="1:21" hidden="1" x14ac:dyDescent="0.25"/>
    <row r="11" spans="1:21" hidden="1" x14ac:dyDescent="0.25"/>
    <row r="12" spans="1:21" hidden="1" x14ac:dyDescent="0.25"/>
    <row r="13" spans="1:21" hidden="1" x14ac:dyDescent="0.25"/>
    <row r="14" spans="1:21" hidden="1" x14ac:dyDescent="0.25"/>
    <row r="15" spans="1:21" hidden="1" x14ac:dyDescent="0.25"/>
    <row r="16" spans="1:21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spans="1:11" hidden="1" x14ac:dyDescent="0.25"/>
    <row r="34" spans="1:11" hidden="1" x14ac:dyDescent="0.25"/>
    <row r="35" spans="1:11" hidden="1" x14ac:dyDescent="0.25"/>
    <row r="36" spans="1:11" hidden="1" x14ac:dyDescent="0.25"/>
    <row r="37" spans="1:11" hidden="1" x14ac:dyDescent="0.25"/>
    <row r="38" spans="1:11" hidden="1" x14ac:dyDescent="0.25"/>
    <row r="39" spans="1:11" hidden="1" x14ac:dyDescent="0.25"/>
    <row r="40" spans="1:11" hidden="1" x14ac:dyDescent="0.25"/>
    <row r="41" spans="1:11" hidden="1" x14ac:dyDescent="0.25"/>
    <row r="42" spans="1:11" hidden="1" x14ac:dyDescent="0.25"/>
    <row r="43" spans="1:11" hidden="1" x14ac:dyDescent="0.25"/>
    <row r="44" spans="1:11" hidden="1" x14ac:dyDescent="0.25"/>
    <row r="45" spans="1:11" hidden="1" x14ac:dyDescent="0.25"/>
    <row r="46" spans="1:11" ht="15.75" hidden="1" customHeight="1" x14ac:dyDescent="0.25"/>
    <row r="47" spans="1:11" ht="15.75" customHeight="1" x14ac:dyDescent="0.25">
      <c r="A47" s="52" t="s">
        <v>90</v>
      </c>
      <c r="C47" s="53" t="s">
        <v>91</v>
      </c>
      <c r="D47" s="54" t="s">
        <v>92</v>
      </c>
      <c r="E47" s="53" t="s">
        <v>93</v>
      </c>
      <c r="F47" s="55" t="s">
        <v>94</v>
      </c>
    </row>
    <row r="48" spans="1:11" ht="24" customHeight="1" x14ac:dyDescent="0.25">
      <c r="B48" s="56" t="s">
        <v>95</v>
      </c>
      <c r="C48" s="56" t="s">
        <v>96</v>
      </c>
      <c r="D48" s="56" t="s">
        <v>97</v>
      </c>
      <c r="E48" s="56" t="s">
        <v>98</v>
      </c>
      <c r="F48" s="56" t="s">
        <v>99</v>
      </c>
      <c r="G48" s="56" t="s">
        <v>100</v>
      </c>
      <c r="H48" s="56" t="s">
        <v>101</v>
      </c>
      <c r="I48" s="56" t="s">
        <v>102</v>
      </c>
      <c r="J48" s="56" t="s">
        <v>103</v>
      </c>
      <c r="K48" s="56" t="s">
        <v>104</v>
      </c>
    </row>
    <row r="49" spans="1:18" x14ac:dyDescent="0.25">
      <c r="B49" s="57">
        <v>0</v>
      </c>
      <c r="C49" s="57">
        <v>2.5000000000000001E-2</v>
      </c>
      <c r="D49" s="57">
        <v>0.25</v>
      </c>
      <c r="E49" s="57">
        <v>0.2</v>
      </c>
      <c r="F49" s="58">
        <v>7</v>
      </c>
      <c r="G49" s="58">
        <v>9</v>
      </c>
      <c r="H49" s="58">
        <v>12</v>
      </c>
      <c r="I49" s="59">
        <v>100000</v>
      </c>
      <c r="J49" s="57">
        <v>0.03</v>
      </c>
      <c r="K49" s="58">
        <v>100</v>
      </c>
    </row>
    <row r="50" spans="1:18" ht="24" customHeight="1" x14ac:dyDescent="0.25">
      <c r="B50" s="56" t="s">
        <v>105</v>
      </c>
      <c r="C50" s="56" t="s">
        <v>106</v>
      </c>
      <c r="D50" s="56" t="s">
        <v>107</v>
      </c>
      <c r="E50" s="56" t="s">
        <v>108</v>
      </c>
      <c r="F50" s="56" t="s">
        <v>109</v>
      </c>
      <c r="G50" s="56" t="s">
        <v>110</v>
      </c>
      <c r="H50" s="56" t="s">
        <v>111</v>
      </c>
      <c r="I50" s="56" t="s">
        <v>112</v>
      </c>
    </row>
    <row r="51" spans="1:18" x14ac:dyDescent="0.25">
      <c r="B51" s="60">
        <v>0.5</v>
      </c>
      <c r="C51" s="61">
        <v>1</v>
      </c>
      <c r="D51" s="59">
        <v>40</v>
      </c>
      <c r="E51" s="62" t="s">
        <v>113</v>
      </c>
      <c r="F51" s="62" t="s">
        <v>114</v>
      </c>
      <c r="G51" s="62" t="s">
        <v>114</v>
      </c>
      <c r="H51" s="62" t="s">
        <v>114</v>
      </c>
      <c r="I51" s="62" t="s">
        <v>114</v>
      </c>
    </row>
    <row r="52" spans="1:18" x14ac:dyDescent="0.25">
      <c r="B52" s="56" t="s">
        <v>115</v>
      </c>
      <c r="C52" s="56" t="s">
        <v>116</v>
      </c>
      <c r="D52" s="56" t="s">
        <v>117</v>
      </c>
      <c r="E52" s="56" t="s">
        <v>118</v>
      </c>
      <c r="F52" s="56" t="s">
        <v>119</v>
      </c>
      <c r="G52" s="56" t="s">
        <v>120</v>
      </c>
    </row>
    <row r="53" spans="1:18" x14ac:dyDescent="0.25">
      <c r="B53" s="63">
        <v>1</v>
      </c>
      <c r="C53" s="64" t="str">
        <f>IF(ProgramCalcul!Y6=0,"Material 1",ProgramCalcul!Y6)</f>
        <v xml:space="preserve">HDF B0423 200 </v>
      </c>
      <c r="D53" s="65"/>
      <c r="E53" s="65" t="s">
        <v>121</v>
      </c>
      <c r="F53" s="66">
        <f>ProgramCalcul!AH6</f>
        <v>8.8888888888888892E-2</v>
      </c>
      <c r="G53" s="67">
        <f>IF(OR(D53="",D53=0),F53,D53*F53)</f>
        <v>8.8888888888888892E-2</v>
      </c>
    </row>
    <row r="54" spans="1:18" x14ac:dyDescent="0.25">
      <c r="B54" s="63">
        <v>2</v>
      </c>
      <c r="C54" s="68" t="s">
        <v>122</v>
      </c>
      <c r="D54" s="69"/>
      <c r="E54" s="69" t="s">
        <v>121</v>
      </c>
      <c r="F54" s="70">
        <v>0</v>
      </c>
      <c r="G54" s="71">
        <f>IF(OR(D54="",D54=0),F54,D54*F54)</f>
        <v>0</v>
      </c>
    </row>
    <row r="55" spans="1:18" x14ac:dyDescent="0.25">
      <c r="B55" s="63">
        <v>3</v>
      </c>
      <c r="C55" s="68" t="s">
        <v>123</v>
      </c>
      <c r="D55" s="69"/>
      <c r="E55" s="69" t="s">
        <v>121</v>
      </c>
      <c r="F55" s="70">
        <v>0</v>
      </c>
      <c r="G55" s="71">
        <f>IF(OR(D55="",D55=0),F55,D55*F55)</f>
        <v>0</v>
      </c>
    </row>
    <row r="56" spans="1:18" x14ac:dyDescent="0.25">
      <c r="B56" s="63">
        <v>4</v>
      </c>
      <c r="C56" s="68" t="s">
        <v>124</v>
      </c>
      <c r="D56" s="69"/>
      <c r="E56" s="69" t="s">
        <v>121</v>
      </c>
      <c r="F56" s="70">
        <v>0</v>
      </c>
      <c r="G56" s="71">
        <f>IF(OR(D56="",D56=0),F56,D56*F56)</f>
        <v>0</v>
      </c>
    </row>
    <row r="57" spans="1:18" x14ac:dyDescent="0.25">
      <c r="B57" s="63">
        <v>5</v>
      </c>
      <c r="C57" s="68" t="s">
        <v>125</v>
      </c>
      <c r="D57" s="69"/>
      <c r="E57" s="69" t="s">
        <v>121</v>
      </c>
      <c r="F57" s="70">
        <v>0</v>
      </c>
      <c r="G57" s="71">
        <f>IF(OR(D57="",D57=0),F57,D57*F57)</f>
        <v>0</v>
      </c>
    </row>
    <row r="58" spans="1:18" ht="48" customHeight="1" x14ac:dyDescent="0.25">
      <c r="B58" s="72" t="s">
        <v>126</v>
      </c>
      <c r="C58" s="73"/>
      <c r="D58" s="74"/>
      <c r="E58" s="74"/>
      <c r="F58" s="75"/>
      <c r="G58" s="71">
        <f>IFERROR(F58/(4*I49),0)</f>
        <v>0</v>
      </c>
    </row>
    <row r="59" spans="1:18" ht="36" customHeight="1" x14ac:dyDescent="0.25">
      <c r="B59" s="76" t="s">
        <v>127</v>
      </c>
      <c r="C59" s="77"/>
      <c r="D59" s="78"/>
      <c r="E59" s="78"/>
      <c r="F59" s="78"/>
      <c r="G59" s="79">
        <f>SUM(G53:G58)</f>
        <v>8.8888888888888892E-2</v>
      </c>
    </row>
    <row r="60" spans="1:18" ht="24" customHeight="1" x14ac:dyDescent="0.25">
      <c r="B60" s="56" t="s">
        <v>128</v>
      </c>
      <c r="C60" s="56" t="s">
        <v>129</v>
      </c>
      <c r="D60" s="56" t="s">
        <v>130</v>
      </c>
      <c r="E60" s="56" t="s">
        <v>131</v>
      </c>
      <c r="F60" s="56" t="s">
        <v>132</v>
      </c>
      <c r="G60" s="56" t="s">
        <v>133</v>
      </c>
      <c r="H60" s="56" t="s">
        <v>134</v>
      </c>
      <c r="I60" s="56" t="s">
        <v>135</v>
      </c>
      <c r="J60" s="56" t="s">
        <v>136</v>
      </c>
      <c r="K60" s="56" t="s">
        <v>137</v>
      </c>
      <c r="L60" s="56" t="s">
        <v>138</v>
      </c>
      <c r="M60" s="56" t="s">
        <v>139</v>
      </c>
      <c r="N60" s="56" t="s">
        <v>140</v>
      </c>
      <c r="O60" s="56" t="s">
        <v>141</v>
      </c>
      <c r="Q60" s="80" t="s">
        <v>142</v>
      </c>
      <c r="R60" s="80" t="s">
        <v>141</v>
      </c>
    </row>
    <row r="61" spans="1:18" x14ac:dyDescent="0.25">
      <c r="B61" s="81">
        <f>G59</f>
        <v>8.8888888888888892E-2</v>
      </c>
      <c r="C61" s="81">
        <f>B61*(1+J49)</f>
        <v>9.1555555555555557E-2</v>
      </c>
      <c r="D61" s="81">
        <f>C61*B49</f>
        <v>0</v>
      </c>
      <c r="E61" s="81">
        <f>C61+D61</f>
        <v>9.1555555555555557E-2</v>
      </c>
      <c r="F61" s="82">
        <f>IFERROR(VLOOKUP(E51,Utilaje!$B$4:$J$37,4,FALSE())*B51/3600*VLOOKUP(E51,Utilaje!$B$4:$J$37,9,FALSE())*CHOOSE(C51,1,1.3,1.6),0)+IFERROR(VLOOKUP(F51,Utilaje!$B$4:$J$37,4,FALSE())*B51/3600*VLOOKUP(F51,Utilaje!$B$4:$J$37,9,FALSE())*CHOOSE(C51,1,1.3,1.6),0)+IFERROR(VLOOKUP(G51,Utilaje!$B$4:$J$37,4,FALSE())*B51/3600*VLOOKUP(G51,Utilaje!$B$4:$J$37,9,FALSE())*CHOOSE(C51,1,1.3,1.6),0)+IFERROR(VLOOKUP(H51,Utilaje!$B$4:$J$37,4,FALSE())*B51/3600*VLOOKUP(H51,Utilaje!$B$4:$J$37,9,FALSE())*CHOOSE(C51,1,1.3,1.6),0)+IFERROR(VLOOKUP(I51,Utilaje!$B$4:$J$37,4,FALSE())*B51/3600*VLOOKUP(I51,Utilaje!$B$4:$J$37,9,FALSE())*CHOOSE(C51,1,1.3,1.6),0)</f>
        <v>8.3333333333333328E-4</v>
      </c>
      <c r="G61" s="81">
        <f>IFERROR((VLOOKUP(E51,Utilaje!$B$4:$J$37,9,FALSE())+D51*60/I49)*(VLOOKUP(E51,Utilaje!$B$4:$J$37,6,FALSE())*F49+VLOOKUP(E51,Utilaje!$B$4:$J$37,7,FALSE())*G49+VLOOKUP(E51,Utilaje!$B$4:$J$37,8,FALSE())*H49)/3600*CHOOSE(C51,1,1.3,1.6),0)+IFERROR((VLOOKUP(F51,Utilaje!$B$4:$J$37,9,FALSE())+D51*60/I49)*(VLOOKUP(F51,Utilaje!$B$4:$J$37,6,FALSE())*F49+VLOOKUP(F51,Utilaje!$B$4:$J$37,7,FALSE())*G49+VLOOKUP(F51,Utilaje!$B$4:$J$37,8,FALSE())*H49)/3600*CHOOSE(C51,1,1.3,1.6),0)+IFERROR((VLOOKUP(G51,Utilaje!$B$4:$J$37,9,FALSE())+D51*60/I49)*(VLOOKUP(G51,Utilaje!$B$4:$J$37,6,FALSE())*F49+VLOOKUP(G51,Utilaje!$B$4:$J$37,7,FALSE())*G49+VLOOKUP(G51,Utilaje!$B$4:$J$37,8,FALSE())*H49)/3600*CHOOSE(C51,1,1.3,1.6),0)+IFERROR((VLOOKUP(H51,Utilaje!$B$4:$J$37,9,FALSE())+D51*60/I49)*(VLOOKUP(H51,Utilaje!$B$4:$J$37,6,FALSE())*F49+VLOOKUP(H51,Utilaje!$B$4:$J$37,7,FALSE())*G49+VLOOKUP(H51,Utilaje!$B$4:$J$37,8,FALSE())*H49)/3600*CHOOSE(C51,1,1.3,1.6),0)+IFERROR((VLOOKUP(I51,Utilaje!$B$4:$J$37,9,FALSE())+D51*60/I49)*(VLOOKUP(I51,Utilaje!$B$4:$J$37,6,FALSE())*F49+VLOOKUP(I51,Utilaje!$B$4:$J$37,7,FALSE())*G49+VLOOKUP(I51,Utilaje!$B$4:$J$37,8,FALSE())*H49)/3600*CHOOSE(C51,1,1.3,1.6),0)</f>
        <v>5.8799999999999998E-3</v>
      </c>
      <c r="H61" s="81">
        <f>G61*C49</f>
        <v>1.47E-4</v>
      </c>
      <c r="I61" s="81">
        <f>IFERROR(K49/I49,0)</f>
        <v>1E-3</v>
      </c>
      <c r="J61" s="81">
        <f>E61+F61+G61+H61+I61</f>
        <v>9.9415888888888887E-2</v>
      </c>
      <c r="K61" s="81">
        <f>J61*D49</f>
        <v>2.4853972222222222E-2</v>
      </c>
      <c r="L61" s="81">
        <f>J61+K61</f>
        <v>0.1242698611111111</v>
      </c>
      <c r="M61" s="81">
        <f>L61*E49</f>
        <v>2.4853972222222222E-2</v>
      </c>
      <c r="N61" s="83">
        <f>L61+M61</f>
        <v>0.14912383333333332</v>
      </c>
      <c r="O61" s="84">
        <f>N61*1000</f>
        <v>149.12383333333332</v>
      </c>
      <c r="Q61" s="83">
        <f>ProgramCalcul!AL6</f>
        <v>0.20444444444444443</v>
      </c>
      <c r="R61" s="84">
        <f>Q61*1000</f>
        <v>204.44444444444443</v>
      </c>
    </row>
    <row r="62" spans="1:18" s="50" customFormat="1" ht="15.75" customHeight="1" x14ac:dyDescent="0.25">
      <c r="B62" s="85"/>
      <c r="C62" s="85"/>
      <c r="D62" s="85"/>
      <c r="E62" s="85"/>
      <c r="F62" s="86"/>
      <c r="G62" s="85"/>
      <c r="H62" s="85"/>
      <c r="I62" s="85"/>
      <c r="J62" s="85"/>
      <c r="K62" s="85"/>
      <c r="L62" s="85"/>
      <c r="M62" s="85"/>
      <c r="N62" s="87"/>
    </row>
    <row r="63" spans="1:18" ht="15.75" customHeight="1" x14ac:dyDescent="0.25">
      <c r="A63" s="52" t="s">
        <v>143</v>
      </c>
      <c r="C63" s="53" t="s">
        <v>91</v>
      </c>
      <c r="D63" s="54" t="s">
        <v>144</v>
      </c>
      <c r="E63" s="53" t="s">
        <v>93</v>
      </c>
      <c r="F63" s="55" t="s">
        <v>145</v>
      </c>
    </row>
    <row r="64" spans="1:18" ht="24" customHeight="1" x14ac:dyDescent="0.25">
      <c r="B64" s="56" t="s">
        <v>95</v>
      </c>
      <c r="C64" s="56" t="s">
        <v>96</v>
      </c>
      <c r="D64" s="56" t="s">
        <v>97</v>
      </c>
      <c r="E64" s="56" t="s">
        <v>98</v>
      </c>
      <c r="F64" s="56" t="s">
        <v>99</v>
      </c>
      <c r="G64" s="56" t="s">
        <v>100</v>
      </c>
      <c r="H64" s="56" t="s">
        <v>101</v>
      </c>
      <c r="I64" s="56" t="s">
        <v>102</v>
      </c>
      <c r="J64" s="56" t="s">
        <v>103</v>
      </c>
      <c r="K64" s="56" t="s">
        <v>104</v>
      </c>
    </row>
    <row r="65" spans="1:18" x14ac:dyDescent="0.25">
      <c r="B65" s="57">
        <v>0</v>
      </c>
      <c r="C65" s="57">
        <v>2.5000000000000001E-2</v>
      </c>
      <c r="D65" s="57">
        <v>0.25</v>
      </c>
      <c r="E65" s="57">
        <v>0.2</v>
      </c>
      <c r="F65" s="58">
        <v>7</v>
      </c>
      <c r="G65" s="58">
        <v>9</v>
      </c>
      <c r="H65" s="58">
        <v>12</v>
      </c>
      <c r="I65" s="59">
        <v>100000</v>
      </c>
      <c r="J65" s="57">
        <v>0.03</v>
      </c>
      <c r="K65" s="58">
        <v>0</v>
      </c>
    </row>
    <row r="66" spans="1:18" ht="24" customHeight="1" x14ac:dyDescent="0.25">
      <c r="B66" s="56" t="s">
        <v>105</v>
      </c>
      <c r="C66" s="56" t="s">
        <v>106</v>
      </c>
      <c r="D66" s="56" t="s">
        <v>107</v>
      </c>
      <c r="E66" s="56" t="s">
        <v>108</v>
      </c>
      <c r="F66" s="56" t="s">
        <v>109</v>
      </c>
      <c r="G66" s="56" t="s">
        <v>110</v>
      </c>
      <c r="H66" s="56" t="s">
        <v>111</v>
      </c>
      <c r="I66" s="56" t="s">
        <v>112</v>
      </c>
    </row>
    <row r="67" spans="1:18" x14ac:dyDescent="0.25">
      <c r="B67" s="60">
        <v>0.5</v>
      </c>
      <c r="C67" s="61">
        <v>1</v>
      </c>
      <c r="D67" s="59">
        <v>40</v>
      </c>
      <c r="E67" s="62" t="s">
        <v>113</v>
      </c>
      <c r="F67" s="62" t="s">
        <v>114</v>
      </c>
      <c r="G67" s="62" t="s">
        <v>114</v>
      </c>
      <c r="H67" s="62" t="s">
        <v>114</v>
      </c>
      <c r="I67" s="62" t="s">
        <v>114</v>
      </c>
    </row>
    <row r="68" spans="1:18" x14ac:dyDescent="0.25">
      <c r="B68" s="56" t="s">
        <v>115</v>
      </c>
      <c r="C68" s="56" t="s">
        <v>116</v>
      </c>
      <c r="D68" s="56" t="s">
        <v>117</v>
      </c>
      <c r="E68" s="56" t="s">
        <v>118</v>
      </c>
      <c r="F68" s="56" t="s">
        <v>119</v>
      </c>
      <c r="G68" s="56" t="s">
        <v>120</v>
      </c>
    </row>
    <row r="69" spans="1:18" ht="24" customHeight="1" x14ac:dyDescent="0.25">
      <c r="B69" s="63">
        <v>1</v>
      </c>
      <c r="C69" s="64" t="str">
        <f>IF(ProgramCalcul!Y7=0,"Material 1",ProgramCalcul!Y7)</f>
        <v xml:space="preserve">HDF B0423 200 </v>
      </c>
      <c r="D69" s="65"/>
      <c r="E69" s="65" t="s">
        <v>121</v>
      </c>
      <c r="F69" s="88">
        <f>ProgramCalcul!AH7</f>
        <v>8.845643520566121E-2</v>
      </c>
      <c r="G69" s="67">
        <f>IF(OR(D69="",D69=0),F69,D69*F69)</f>
        <v>8.845643520566121E-2</v>
      </c>
    </row>
    <row r="70" spans="1:18" x14ac:dyDescent="0.25">
      <c r="B70" s="63">
        <v>2</v>
      </c>
      <c r="C70" s="68" t="s">
        <v>122</v>
      </c>
      <c r="D70" s="69"/>
      <c r="E70" s="69" t="s">
        <v>121</v>
      </c>
      <c r="F70" s="70">
        <v>0</v>
      </c>
      <c r="G70" s="71">
        <f>IF(OR(D70="",D70=0),F70,D70*F70)</f>
        <v>0</v>
      </c>
    </row>
    <row r="71" spans="1:18" x14ac:dyDescent="0.25">
      <c r="B71" s="63">
        <v>3</v>
      </c>
      <c r="C71" s="68" t="s">
        <v>123</v>
      </c>
      <c r="D71" s="69"/>
      <c r="E71" s="69" t="s">
        <v>121</v>
      </c>
      <c r="F71" s="70">
        <v>0</v>
      </c>
      <c r="G71" s="71">
        <f>IF(OR(D71="",D71=0),F71,D71*F71)</f>
        <v>0</v>
      </c>
    </row>
    <row r="72" spans="1:18" x14ac:dyDescent="0.25">
      <c r="B72" s="63">
        <v>4</v>
      </c>
      <c r="C72" s="68" t="s">
        <v>124</v>
      </c>
      <c r="D72" s="69"/>
      <c r="E72" s="69" t="s">
        <v>121</v>
      </c>
      <c r="F72" s="70">
        <v>0</v>
      </c>
      <c r="G72" s="71">
        <f>IF(OR(D72="",D72=0),F72,D72*F72)</f>
        <v>0</v>
      </c>
    </row>
    <row r="73" spans="1:18" x14ac:dyDescent="0.25">
      <c r="B73" s="63">
        <v>5</v>
      </c>
      <c r="C73" s="68" t="s">
        <v>125</v>
      </c>
      <c r="D73" s="69"/>
      <c r="E73" s="69" t="s">
        <v>121</v>
      </c>
      <c r="F73" s="70">
        <v>0</v>
      </c>
      <c r="G73" s="71">
        <f>IF(OR(D73="",D73=0),F73,D73*F73)</f>
        <v>0</v>
      </c>
    </row>
    <row r="74" spans="1:18" ht="48" customHeight="1" x14ac:dyDescent="0.25">
      <c r="B74" s="72" t="s">
        <v>126</v>
      </c>
      <c r="C74" s="73"/>
      <c r="D74" s="74"/>
      <c r="E74" s="74"/>
      <c r="F74" s="89">
        <v>0</v>
      </c>
      <c r="G74" s="71">
        <f>IFERROR(F74/(4*I65),0)</f>
        <v>0</v>
      </c>
    </row>
    <row r="75" spans="1:18" ht="36" customHeight="1" x14ac:dyDescent="0.25">
      <c r="B75" s="76" t="s">
        <v>127</v>
      </c>
      <c r="C75" s="77"/>
      <c r="D75" s="78"/>
      <c r="E75" s="78"/>
      <c r="F75" s="78"/>
      <c r="G75" s="79">
        <f>SUM(G69:G74)</f>
        <v>8.845643520566121E-2</v>
      </c>
    </row>
    <row r="76" spans="1:18" ht="24" customHeight="1" x14ac:dyDescent="0.25">
      <c r="B76" s="56" t="s">
        <v>128</v>
      </c>
      <c r="C76" s="56" t="s">
        <v>129</v>
      </c>
      <c r="D76" s="56" t="s">
        <v>130</v>
      </c>
      <c r="E76" s="56" t="s">
        <v>131</v>
      </c>
      <c r="F76" s="56" t="s">
        <v>132</v>
      </c>
      <c r="G76" s="56" t="s">
        <v>133</v>
      </c>
      <c r="H76" s="56" t="s">
        <v>134</v>
      </c>
      <c r="I76" s="56" t="s">
        <v>135</v>
      </c>
      <c r="J76" s="56" t="s">
        <v>136</v>
      </c>
      <c r="K76" s="56" t="s">
        <v>137</v>
      </c>
      <c r="L76" s="56" t="s">
        <v>138</v>
      </c>
      <c r="M76" s="56" t="s">
        <v>139</v>
      </c>
      <c r="N76" s="56" t="s">
        <v>140</v>
      </c>
      <c r="O76" s="56" t="s">
        <v>141</v>
      </c>
      <c r="Q76" s="80" t="s">
        <v>142</v>
      </c>
      <c r="R76" s="80" t="s">
        <v>141</v>
      </c>
    </row>
    <row r="77" spans="1:18" x14ac:dyDescent="0.25">
      <c r="B77" s="81">
        <f>G75</f>
        <v>8.845643520566121E-2</v>
      </c>
      <c r="C77" s="81">
        <f>B77*(1+J65)</f>
        <v>9.1110128261831055E-2</v>
      </c>
      <c r="D77" s="81">
        <f>C77*B65</f>
        <v>0</v>
      </c>
      <c r="E77" s="81">
        <f>C77+D77</f>
        <v>9.1110128261831055E-2</v>
      </c>
      <c r="F77" s="81">
        <f>IFERROR(VLOOKUP(E67,Utilaje!$B$4:$J$37,4,FALSE())*B67/3600*VLOOKUP(E67,Utilaje!$B$4:$J$37,9,FALSE())*CHOOSE(C67,1,1.3,1.6),0)+IFERROR(VLOOKUP(F67,Utilaje!$B$4:$J$37,4,FALSE())*B67/3600*VLOOKUP(F67,Utilaje!$B$4:$J$37,9,FALSE())*CHOOSE(C67,1,1.3,1.6),0)+IFERROR(VLOOKUP(G67,Utilaje!$B$4:$J$37,4,FALSE())*B67/3600*VLOOKUP(G67,Utilaje!$B$4:$J$37,9,FALSE())*CHOOSE(C67,1,1.3,1.6),0)+IFERROR(VLOOKUP(H67,Utilaje!$B$4:$J$37,4,FALSE())*B67/3600*VLOOKUP(H67,Utilaje!$B$4:$J$37,9,FALSE())*CHOOSE(C67,1,1.3,1.6),0)+IFERROR(VLOOKUP(I67,Utilaje!$B$4:$J$37,4,FALSE())*B67/3600*VLOOKUP(I67,Utilaje!$B$4:$J$37,9,FALSE())*CHOOSE(C67,1,1.3,1.6),0)</f>
        <v>8.3333333333333328E-4</v>
      </c>
      <c r="G77" s="81">
        <f>IFERROR((VLOOKUP(E67,Utilaje!$B$4:$J$37,9,FALSE())+D67*60/I65)*(VLOOKUP(E67,Utilaje!$B$4:$J$37,6,FALSE())*F65+VLOOKUP(E67,Utilaje!$B$4:$J$37,7,FALSE())*G65+VLOOKUP(E67,Utilaje!$B$4:$J$37,8,FALSE())*H65)/3600*CHOOSE(C67,1,1.3,1.6),0)+IFERROR((VLOOKUP(F67,Utilaje!$B$4:$J$37,9,FALSE())+D67*60/I65)*(VLOOKUP(F67,Utilaje!$B$4:$J$37,6,FALSE())*F65+VLOOKUP(F67,Utilaje!$B$4:$J$37,7,FALSE())*G65+VLOOKUP(F67,Utilaje!$B$4:$J$37,8,FALSE())*H65)/3600*CHOOSE(C67,1,1.3,1.6),0)+IFERROR((VLOOKUP(G67,Utilaje!$B$4:$J$37,9,FALSE())+D67*60/I65)*(VLOOKUP(G67,Utilaje!$B$4:$J$37,6,FALSE())*F65+VLOOKUP(G67,Utilaje!$B$4:$J$37,7,FALSE())*G65+VLOOKUP(G67,Utilaje!$B$4:$J$37,8,FALSE())*H65)/3600*CHOOSE(C67,1,1.3,1.6),0)+IFERROR((VLOOKUP(H67,Utilaje!$B$4:$J$37,9,FALSE())+D67*60/I65)*(VLOOKUP(H67,Utilaje!$B$4:$J$37,6,FALSE())*F65+VLOOKUP(H67,Utilaje!$B$4:$J$37,7,FALSE())*G65+VLOOKUP(H67,Utilaje!$B$4:$J$37,8,FALSE())*H65)/3600*CHOOSE(C67,1,1.3,1.6),0)+IFERROR((VLOOKUP(I67,Utilaje!$B$4:$J$37,9,FALSE())+D67*60/I65)*(VLOOKUP(I67,Utilaje!$B$4:$J$37,6,FALSE())*F65+VLOOKUP(I67,Utilaje!$B$4:$J$37,7,FALSE())*G65+VLOOKUP(I67,Utilaje!$B$4:$J$37,8,FALSE())*H65)/3600*CHOOSE(C67,1,1.3,1.6),0)</f>
        <v>5.8799999999999998E-3</v>
      </c>
      <c r="H77" s="81">
        <f>G77*C65</f>
        <v>1.47E-4</v>
      </c>
      <c r="I77" s="81">
        <f>IFERROR(K65/I65,0)</f>
        <v>0</v>
      </c>
      <c r="J77" s="81">
        <f>E77+F77+G77+H77+I77</f>
        <v>9.7970461595164385E-2</v>
      </c>
      <c r="K77" s="81">
        <f>J77*D65</f>
        <v>2.4492615398791096E-2</v>
      </c>
      <c r="L77" s="81">
        <f>J77+K77</f>
        <v>0.12246307699395548</v>
      </c>
      <c r="M77" s="81">
        <f>L77*E65</f>
        <v>2.4492615398791096E-2</v>
      </c>
      <c r="N77" s="83">
        <f>L77+M77</f>
        <v>0.14695569239274658</v>
      </c>
      <c r="O77" s="84">
        <f>N77*1000</f>
        <v>146.95569239274658</v>
      </c>
      <c r="Q77" s="83">
        <f>ProgramCalcul!AL7</f>
        <v>0.20344980097302076</v>
      </c>
      <c r="R77" s="84">
        <f>Q77*1000</f>
        <v>203.44980097302076</v>
      </c>
    </row>
    <row r="78" spans="1:18" s="50" customFormat="1" ht="15.75" customHeight="1" x14ac:dyDescent="0.25"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7"/>
    </row>
    <row r="79" spans="1:18" ht="15.75" customHeight="1" x14ac:dyDescent="0.25">
      <c r="A79" s="52" t="s">
        <v>146</v>
      </c>
      <c r="C79" s="53" t="s">
        <v>91</v>
      </c>
      <c r="D79" s="54" t="s">
        <v>147</v>
      </c>
      <c r="E79" s="53" t="s">
        <v>93</v>
      </c>
      <c r="F79" s="55" t="s">
        <v>148</v>
      </c>
    </row>
    <row r="80" spans="1:18" ht="24" customHeight="1" x14ac:dyDescent="0.25">
      <c r="B80" s="56" t="s">
        <v>95</v>
      </c>
      <c r="C80" s="56" t="s">
        <v>96</v>
      </c>
      <c r="D80" s="56" t="s">
        <v>97</v>
      </c>
      <c r="E80" s="56" t="s">
        <v>98</v>
      </c>
      <c r="F80" s="56" t="s">
        <v>99</v>
      </c>
      <c r="G80" s="56" t="s">
        <v>100</v>
      </c>
      <c r="H80" s="56" t="s">
        <v>101</v>
      </c>
      <c r="I80" s="56" t="s">
        <v>102</v>
      </c>
      <c r="J80" s="56" t="s">
        <v>103</v>
      </c>
      <c r="K80" s="56" t="s">
        <v>104</v>
      </c>
    </row>
    <row r="81" spans="1:18" x14ac:dyDescent="0.25">
      <c r="B81" s="57">
        <v>0</v>
      </c>
      <c r="C81" s="57">
        <v>2.5000000000000001E-2</v>
      </c>
      <c r="D81" s="57">
        <v>0.25</v>
      </c>
      <c r="E81" s="57">
        <v>0.2</v>
      </c>
      <c r="F81" s="58">
        <v>7</v>
      </c>
      <c r="G81" s="58">
        <v>9</v>
      </c>
      <c r="H81" s="58">
        <v>12</v>
      </c>
      <c r="I81" s="59">
        <v>100000</v>
      </c>
      <c r="J81" s="57">
        <v>0.03</v>
      </c>
      <c r="K81" s="58">
        <v>0</v>
      </c>
    </row>
    <row r="82" spans="1:18" ht="24" customHeight="1" x14ac:dyDescent="0.25">
      <c r="B82" s="56" t="s">
        <v>105</v>
      </c>
      <c r="C82" s="56" t="s">
        <v>106</v>
      </c>
      <c r="D82" s="56" t="s">
        <v>107</v>
      </c>
      <c r="E82" s="56" t="s">
        <v>108</v>
      </c>
      <c r="F82" s="56" t="s">
        <v>109</v>
      </c>
      <c r="G82" s="56" t="s">
        <v>110</v>
      </c>
      <c r="H82" s="56" t="s">
        <v>111</v>
      </c>
      <c r="I82" s="56" t="s">
        <v>112</v>
      </c>
    </row>
    <row r="83" spans="1:18" x14ac:dyDescent="0.25">
      <c r="B83" s="60">
        <v>0.5</v>
      </c>
      <c r="C83" s="61">
        <v>1</v>
      </c>
      <c r="D83" s="59">
        <v>40</v>
      </c>
      <c r="E83" s="62" t="s">
        <v>113</v>
      </c>
      <c r="F83" s="62" t="s">
        <v>114</v>
      </c>
      <c r="G83" s="62" t="s">
        <v>114</v>
      </c>
      <c r="H83" s="62" t="s">
        <v>114</v>
      </c>
      <c r="I83" s="62" t="s">
        <v>114</v>
      </c>
    </row>
    <row r="84" spans="1:18" x14ac:dyDescent="0.25">
      <c r="B84" s="56" t="s">
        <v>115</v>
      </c>
      <c r="C84" s="56" t="s">
        <v>116</v>
      </c>
      <c r="D84" s="56" t="s">
        <v>117</v>
      </c>
      <c r="E84" s="56" t="s">
        <v>118</v>
      </c>
      <c r="F84" s="56" t="s">
        <v>119</v>
      </c>
      <c r="G84" s="56" t="s">
        <v>120</v>
      </c>
    </row>
    <row r="85" spans="1:18" ht="24" customHeight="1" x14ac:dyDescent="0.25">
      <c r="B85" s="63">
        <v>1</v>
      </c>
      <c r="C85" s="64" t="str">
        <f>IF(ProgramCalcul!Y8=0,"Material 1",ProgramCalcul!Y8)</f>
        <v xml:space="preserve">HDF B0423 200 </v>
      </c>
      <c r="D85" s="65"/>
      <c r="E85" s="65" t="s">
        <v>121</v>
      </c>
      <c r="F85" s="88">
        <f>ProgramCalcul!AH8</f>
        <v>4.1135335252982311E-2</v>
      </c>
      <c r="G85" s="67">
        <f>IF(OR(D85="",D85=0),F85,D85*F85)</f>
        <v>4.1135335252982311E-2</v>
      </c>
    </row>
    <row r="86" spans="1:18" x14ac:dyDescent="0.25">
      <c r="B86" s="63">
        <v>2</v>
      </c>
      <c r="C86" s="68" t="s">
        <v>122</v>
      </c>
      <c r="D86" s="69"/>
      <c r="E86" s="69" t="s">
        <v>121</v>
      </c>
      <c r="F86" s="70">
        <v>0</v>
      </c>
      <c r="G86" s="71">
        <f>IF(OR(D86="",D86=0),F86,D86*F86)</f>
        <v>0</v>
      </c>
    </row>
    <row r="87" spans="1:18" x14ac:dyDescent="0.25">
      <c r="B87" s="63">
        <v>3</v>
      </c>
      <c r="C87" s="68" t="s">
        <v>123</v>
      </c>
      <c r="D87" s="69"/>
      <c r="E87" s="69" t="s">
        <v>121</v>
      </c>
      <c r="F87" s="70">
        <v>0</v>
      </c>
      <c r="G87" s="71">
        <f>IF(OR(D87="",D87=0),F87,D87*F87)</f>
        <v>0</v>
      </c>
    </row>
    <row r="88" spans="1:18" x14ac:dyDescent="0.25">
      <c r="B88" s="63">
        <v>4</v>
      </c>
      <c r="C88" s="68" t="s">
        <v>124</v>
      </c>
      <c r="D88" s="69"/>
      <c r="E88" s="69" t="s">
        <v>121</v>
      </c>
      <c r="F88" s="70">
        <v>0</v>
      </c>
      <c r="G88" s="71">
        <f>IF(OR(D88="",D88=0),F88,D88*F88)</f>
        <v>0</v>
      </c>
    </row>
    <row r="89" spans="1:18" x14ac:dyDescent="0.25">
      <c r="B89" s="63">
        <v>5</v>
      </c>
      <c r="C89" s="68" t="s">
        <v>125</v>
      </c>
      <c r="D89" s="69"/>
      <c r="E89" s="69" t="s">
        <v>121</v>
      </c>
      <c r="F89" s="70">
        <v>0</v>
      </c>
      <c r="G89" s="71">
        <f>IF(OR(D89="",D89=0),F89,D89*F89)</f>
        <v>0</v>
      </c>
    </row>
    <row r="90" spans="1:18" ht="48" customHeight="1" x14ac:dyDescent="0.25">
      <c r="B90" s="72" t="s">
        <v>126</v>
      </c>
      <c r="C90" s="73"/>
      <c r="D90" s="74"/>
      <c r="E90" s="74"/>
      <c r="F90" s="89">
        <v>0</v>
      </c>
      <c r="G90" s="71">
        <f>IFERROR(F90/(4*I81),0)</f>
        <v>0</v>
      </c>
    </row>
    <row r="91" spans="1:18" ht="36" customHeight="1" x14ac:dyDescent="0.25">
      <c r="B91" s="76" t="s">
        <v>127</v>
      </c>
      <c r="C91" s="77"/>
      <c r="D91" s="78"/>
      <c r="E91" s="78"/>
      <c r="F91" s="78"/>
      <c r="G91" s="79">
        <f>SUM(G85:G90)</f>
        <v>4.1135335252982311E-2</v>
      </c>
    </row>
    <row r="92" spans="1:18" ht="24" customHeight="1" x14ac:dyDescent="0.25">
      <c r="B92" s="56" t="s">
        <v>128</v>
      </c>
      <c r="C92" s="56" t="s">
        <v>129</v>
      </c>
      <c r="D92" s="56" t="s">
        <v>130</v>
      </c>
      <c r="E92" s="56" t="s">
        <v>131</v>
      </c>
      <c r="F92" s="56" t="s">
        <v>132</v>
      </c>
      <c r="G92" s="56" t="s">
        <v>133</v>
      </c>
      <c r="H92" s="56" t="s">
        <v>134</v>
      </c>
      <c r="I92" s="56" t="s">
        <v>135</v>
      </c>
      <c r="J92" s="56" t="s">
        <v>136</v>
      </c>
      <c r="K92" s="56" t="s">
        <v>137</v>
      </c>
      <c r="L92" s="56" t="s">
        <v>138</v>
      </c>
      <c r="M92" s="56" t="s">
        <v>139</v>
      </c>
      <c r="N92" s="56" t="s">
        <v>140</v>
      </c>
      <c r="O92" s="56" t="s">
        <v>141</v>
      </c>
      <c r="Q92" s="80" t="s">
        <v>142</v>
      </c>
      <c r="R92" s="80" t="s">
        <v>141</v>
      </c>
    </row>
    <row r="93" spans="1:18" x14ac:dyDescent="0.25">
      <c r="B93" s="81">
        <f>G91</f>
        <v>4.1135335252982311E-2</v>
      </c>
      <c r="C93" s="81">
        <f>B93*(1+J81)</f>
        <v>4.2369395310571781E-2</v>
      </c>
      <c r="D93" s="81">
        <f>C93*B81</f>
        <v>0</v>
      </c>
      <c r="E93" s="81">
        <f>C93+D93</f>
        <v>4.2369395310571781E-2</v>
      </c>
      <c r="F93" s="81">
        <f>IFERROR(VLOOKUP(E83,Utilaje!$B$4:$J$37,4,FALSE())*B83/3600*VLOOKUP(E83,Utilaje!$B$4:$J$37,9,FALSE())*CHOOSE(C83,1,1.3,1.6),0)+IFERROR(VLOOKUP(F83,Utilaje!$B$4:$J$37,4,FALSE())*B83/3600*VLOOKUP(F83,Utilaje!$B$4:$J$37,9,FALSE())*CHOOSE(C83,1,1.3,1.6),0)+IFERROR(VLOOKUP(G83,Utilaje!$B$4:$J$37,4,FALSE())*B83/3600*VLOOKUP(G83,Utilaje!$B$4:$J$37,9,FALSE())*CHOOSE(C83,1,1.3,1.6),0)+IFERROR(VLOOKUP(H83,Utilaje!$B$4:$J$37,4,FALSE())*B83/3600*VLOOKUP(H83,Utilaje!$B$4:$J$37,9,FALSE())*CHOOSE(C83,1,1.3,1.6),0)+IFERROR(VLOOKUP(I83,Utilaje!$B$4:$J$37,4,FALSE())*B83/3600*VLOOKUP(I83,Utilaje!$B$4:$J$37,9,FALSE())*CHOOSE(C83,1,1.3,1.6),0)</f>
        <v>8.3333333333333328E-4</v>
      </c>
      <c r="G93" s="81">
        <f>IFERROR((VLOOKUP(E83,Utilaje!$B$4:$J$37,9,FALSE())+D83*60/I81)*(VLOOKUP(E83,Utilaje!$B$4:$J$37,6,FALSE())*F81+VLOOKUP(E83,Utilaje!$B$4:$J$37,7,FALSE())*G81+VLOOKUP(E83,Utilaje!$B$4:$J$37,8,FALSE())*H81)/3600*CHOOSE(C83,1,1.3,1.6),0)+IFERROR((VLOOKUP(F83,Utilaje!$B$4:$J$37,9,FALSE())+D83*60/I81)*(VLOOKUP(F83,Utilaje!$B$4:$J$37,6,FALSE())*F81+VLOOKUP(F83,Utilaje!$B$4:$J$37,7,FALSE())*G81+VLOOKUP(F83,Utilaje!$B$4:$J$37,8,FALSE())*H81)/3600*CHOOSE(C83,1,1.3,1.6),0)+IFERROR((VLOOKUP(G83,Utilaje!$B$4:$J$37,9,FALSE())+D83*60/I81)*(VLOOKUP(G83,Utilaje!$B$4:$J$37,6,FALSE())*F81+VLOOKUP(G83,Utilaje!$B$4:$J$37,7,FALSE())*G81+VLOOKUP(G83,Utilaje!$B$4:$J$37,8,FALSE())*H81)/3600*CHOOSE(C83,1,1.3,1.6),0)+IFERROR((VLOOKUP(H83,Utilaje!$B$4:$J$37,9,FALSE())+D83*60/I81)*(VLOOKUP(H83,Utilaje!$B$4:$J$37,6,FALSE())*F81+VLOOKUP(H83,Utilaje!$B$4:$J$37,7,FALSE())*G81+VLOOKUP(H83,Utilaje!$B$4:$J$37,8,FALSE())*H81)/3600*CHOOSE(C83,1,1.3,1.6),0)+IFERROR((VLOOKUP(I83,Utilaje!$B$4:$J$37,9,FALSE())+D83*60/I81)*(VLOOKUP(I83,Utilaje!$B$4:$J$37,6,FALSE())*F81+VLOOKUP(I83,Utilaje!$B$4:$J$37,7,FALSE())*G81+VLOOKUP(I83,Utilaje!$B$4:$J$37,8,FALSE())*H81)/3600*CHOOSE(C83,1,1.3,1.6),0)</f>
        <v>5.8799999999999998E-3</v>
      </c>
      <c r="H93" s="81">
        <f>G93*C81</f>
        <v>1.47E-4</v>
      </c>
      <c r="I93" s="81">
        <f>IFERROR(K81/I81,0)</f>
        <v>0</v>
      </c>
      <c r="J93" s="81">
        <f>E93+F93+G93+H93+I93</f>
        <v>4.9229728643905117E-2</v>
      </c>
      <c r="K93" s="81">
        <f>J93*D81</f>
        <v>1.2307432160976279E-2</v>
      </c>
      <c r="L93" s="81">
        <f>J93+K93</f>
        <v>6.1537160804881398E-2</v>
      </c>
      <c r="M93" s="81">
        <f>L93*E81</f>
        <v>1.2307432160976281E-2</v>
      </c>
      <c r="N93" s="83">
        <f>L93+M93</f>
        <v>7.3844592965857686E-2</v>
      </c>
      <c r="O93" s="84">
        <f>N93*1000</f>
        <v>73.844592965857686</v>
      </c>
      <c r="Q93" s="83">
        <f>ProgramCalcul!AL8</f>
        <v>9.4611271081859308E-2</v>
      </c>
      <c r="R93" s="84">
        <f>Q93*1000</f>
        <v>94.611271081859314</v>
      </c>
    </row>
    <row r="94" spans="1:18" s="50" customFormat="1" ht="15.75" customHeight="1" x14ac:dyDescent="0.25"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7"/>
    </row>
    <row r="95" spans="1:18" ht="15.75" customHeight="1" x14ac:dyDescent="0.25">
      <c r="A95" s="52" t="s">
        <v>149</v>
      </c>
      <c r="C95" s="53" t="s">
        <v>91</v>
      </c>
      <c r="D95" s="54" t="s">
        <v>150</v>
      </c>
      <c r="E95" s="53" t="s">
        <v>93</v>
      </c>
      <c r="F95" s="55" t="s">
        <v>151</v>
      </c>
    </row>
    <row r="96" spans="1:18" ht="24" customHeight="1" x14ac:dyDescent="0.25">
      <c r="B96" s="56" t="s">
        <v>95</v>
      </c>
      <c r="C96" s="56" t="s">
        <v>96</v>
      </c>
      <c r="D96" s="56" t="s">
        <v>97</v>
      </c>
      <c r="E96" s="56" t="s">
        <v>98</v>
      </c>
      <c r="F96" s="56" t="s">
        <v>99</v>
      </c>
      <c r="G96" s="56" t="s">
        <v>100</v>
      </c>
      <c r="H96" s="56" t="s">
        <v>101</v>
      </c>
      <c r="I96" s="56" t="s">
        <v>102</v>
      </c>
      <c r="J96" s="56" t="s">
        <v>103</v>
      </c>
      <c r="K96" s="56" t="s">
        <v>104</v>
      </c>
    </row>
    <row r="97" spans="1:18" x14ac:dyDescent="0.25">
      <c r="B97" s="57">
        <v>0</v>
      </c>
      <c r="C97" s="57">
        <v>2.5000000000000001E-2</v>
      </c>
      <c r="D97" s="57">
        <v>0.25</v>
      </c>
      <c r="E97" s="57">
        <v>0.2</v>
      </c>
      <c r="F97" s="58">
        <v>7</v>
      </c>
      <c r="G97" s="58">
        <v>9</v>
      </c>
      <c r="H97" s="58">
        <v>12</v>
      </c>
      <c r="I97" s="59">
        <v>100000</v>
      </c>
      <c r="J97" s="57">
        <v>0.03</v>
      </c>
      <c r="K97" s="58">
        <v>0</v>
      </c>
    </row>
    <row r="98" spans="1:18" ht="24" customHeight="1" x14ac:dyDescent="0.25">
      <c r="B98" s="56" t="s">
        <v>105</v>
      </c>
      <c r="C98" s="56" t="s">
        <v>106</v>
      </c>
      <c r="D98" s="56" t="s">
        <v>107</v>
      </c>
      <c r="E98" s="56" t="s">
        <v>108</v>
      </c>
      <c r="F98" s="56" t="s">
        <v>109</v>
      </c>
      <c r="G98" s="56" t="s">
        <v>110</v>
      </c>
      <c r="H98" s="56" t="s">
        <v>111</v>
      </c>
      <c r="I98" s="56" t="s">
        <v>112</v>
      </c>
    </row>
    <row r="99" spans="1:18" x14ac:dyDescent="0.25">
      <c r="B99" s="60">
        <v>0.5</v>
      </c>
      <c r="C99" s="61">
        <v>1</v>
      </c>
      <c r="D99" s="59">
        <v>40</v>
      </c>
      <c r="E99" s="62" t="s">
        <v>113</v>
      </c>
      <c r="F99" s="62" t="s">
        <v>114</v>
      </c>
      <c r="G99" s="62" t="s">
        <v>114</v>
      </c>
      <c r="H99" s="62" t="s">
        <v>114</v>
      </c>
      <c r="I99" s="62" t="s">
        <v>114</v>
      </c>
    </row>
    <row r="100" spans="1:18" x14ac:dyDescent="0.25">
      <c r="B100" s="56" t="s">
        <v>115</v>
      </c>
      <c r="C100" s="56" t="s">
        <v>116</v>
      </c>
      <c r="D100" s="56" t="s">
        <v>117</v>
      </c>
      <c r="E100" s="56" t="s">
        <v>118</v>
      </c>
      <c r="F100" s="56" t="s">
        <v>119</v>
      </c>
      <c r="G100" s="56" t="s">
        <v>120</v>
      </c>
    </row>
    <row r="101" spans="1:18" ht="24" customHeight="1" x14ac:dyDescent="0.25">
      <c r="B101" s="63">
        <v>1</v>
      </c>
      <c r="C101" s="64" t="str">
        <f>IF(ProgramCalcul!Y9=0,"Material 1",ProgramCalcul!Y9)</f>
        <v xml:space="preserve">HDF B0423 200 </v>
      </c>
      <c r="D101" s="65"/>
      <c r="E101" s="65" t="s">
        <v>121</v>
      </c>
      <c r="F101" s="88">
        <f>ProgramCalcul!AH9</f>
        <v>5.9031877213695398E-2</v>
      </c>
      <c r="G101" s="67">
        <f>IF(OR(D101="",D101=0),F101,D101*F101)</f>
        <v>5.9031877213695398E-2</v>
      </c>
    </row>
    <row r="102" spans="1:18" x14ac:dyDescent="0.25">
      <c r="B102" s="63">
        <v>2</v>
      </c>
      <c r="C102" s="68" t="s">
        <v>122</v>
      </c>
      <c r="D102" s="69"/>
      <c r="E102" s="69" t="s">
        <v>121</v>
      </c>
      <c r="F102" s="70">
        <v>0</v>
      </c>
      <c r="G102" s="71">
        <f>IF(OR(D102="",D102=0),F102,D102*F102)</f>
        <v>0</v>
      </c>
    </row>
    <row r="103" spans="1:18" x14ac:dyDescent="0.25">
      <c r="B103" s="63">
        <v>3</v>
      </c>
      <c r="C103" s="68" t="s">
        <v>123</v>
      </c>
      <c r="D103" s="69"/>
      <c r="E103" s="69" t="s">
        <v>121</v>
      </c>
      <c r="F103" s="70">
        <v>0</v>
      </c>
      <c r="G103" s="71">
        <f>IF(OR(D103="",D103=0),F103,D103*F103)</f>
        <v>0</v>
      </c>
    </row>
    <row r="104" spans="1:18" x14ac:dyDescent="0.25">
      <c r="B104" s="63">
        <v>4</v>
      </c>
      <c r="C104" s="68" t="s">
        <v>124</v>
      </c>
      <c r="D104" s="69"/>
      <c r="E104" s="69" t="s">
        <v>121</v>
      </c>
      <c r="F104" s="70">
        <v>0</v>
      </c>
      <c r="G104" s="71">
        <f>IF(OR(D104="",D104=0),F104,D104*F104)</f>
        <v>0</v>
      </c>
    </row>
    <row r="105" spans="1:18" x14ac:dyDescent="0.25">
      <c r="B105" s="63">
        <v>5</v>
      </c>
      <c r="C105" s="68" t="s">
        <v>125</v>
      </c>
      <c r="D105" s="69"/>
      <c r="E105" s="69" t="s">
        <v>121</v>
      </c>
      <c r="F105" s="70">
        <v>0</v>
      </c>
      <c r="G105" s="71">
        <f>IF(OR(D105="",D105=0),F105,D105*F105)</f>
        <v>0</v>
      </c>
    </row>
    <row r="106" spans="1:18" ht="48" customHeight="1" x14ac:dyDescent="0.25">
      <c r="B106" s="72" t="s">
        <v>126</v>
      </c>
      <c r="C106" s="73"/>
      <c r="D106" s="74"/>
      <c r="E106" s="74"/>
      <c r="F106" s="89">
        <v>0</v>
      </c>
      <c r="G106" s="71">
        <f>IFERROR(F106/(4*I97),0)</f>
        <v>0</v>
      </c>
    </row>
    <row r="107" spans="1:18" ht="36" customHeight="1" x14ac:dyDescent="0.25">
      <c r="B107" s="76" t="s">
        <v>127</v>
      </c>
      <c r="C107" s="77"/>
      <c r="D107" s="78"/>
      <c r="E107" s="78"/>
      <c r="F107" s="78"/>
      <c r="G107" s="79">
        <f>SUM(G101:G106)</f>
        <v>5.9031877213695398E-2</v>
      </c>
    </row>
    <row r="108" spans="1:18" ht="24" customHeight="1" x14ac:dyDescent="0.25">
      <c r="B108" s="56" t="s">
        <v>128</v>
      </c>
      <c r="C108" s="56" t="s">
        <v>129</v>
      </c>
      <c r="D108" s="56" t="s">
        <v>130</v>
      </c>
      <c r="E108" s="56" t="s">
        <v>131</v>
      </c>
      <c r="F108" s="56" t="s">
        <v>132</v>
      </c>
      <c r="G108" s="56" t="s">
        <v>133</v>
      </c>
      <c r="H108" s="56" t="s">
        <v>134</v>
      </c>
      <c r="I108" s="56" t="s">
        <v>135</v>
      </c>
      <c r="J108" s="56" t="s">
        <v>136</v>
      </c>
      <c r="K108" s="56" t="s">
        <v>137</v>
      </c>
      <c r="L108" s="56" t="s">
        <v>138</v>
      </c>
      <c r="M108" s="56" t="s">
        <v>139</v>
      </c>
      <c r="N108" s="56" t="s">
        <v>140</v>
      </c>
      <c r="O108" s="56" t="s">
        <v>141</v>
      </c>
      <c r="Q108" s="80" t="s">
        <v>142</v>
      </c>
      <c r="R108" s="80" t="s">
        <v>141</v>
      </c>
    </row>
    <row r="109" spans="1:18" x14ac:dyDescent="0.25">
      <c r="B109" s="81">
        <f>G107</f>
        <v>5.9031877213695398E-2</v>
      </c>
      <c r="C109" s="81">
        <f>B109*(1+J97)</f>
        <v>6.0802833530106265E-2</v>
      </c>
      <c r="D109" s="81">
        <f>C109*B97</f>
        <v>0</v>
      </c>
      <c r="E109" s="81">
        <f>C109+D109</f>
        <v>6.0802833530106265E-2</v>
      </c>
      <c r="F109" s="81">
        <f>IFERROR(VLOOKUP(E99,Utilaje!$B$4:$J$37,4,FALSE())*B99/3600*VLOOKUP(E99,Utilaje!$B$4:$J$37,9,FALSE())*CHOOSE(C99,1,1.3,1.6),0)+IFERROR(VLOOKUP(F99,Utilaje!$B$4:$J$37,4,FALSE())*B99/3600*VLOOKUP(F99,Utilaje!$B$4:$J$37,9,FALSE())*CHOOSE(C99,1,1.3,1.6),0)+IFERROR(VLOOKUP(G99,Utilaje!$B$4:$J$37,4,FALSE())*B99/3600*VLOOKUP(G99,Utilaje!$B$4:$J$37,9,FALSE())*CHOOSE(C99,1,1.3,1.6),0)+IFERROR(VLOOKUP(H99,Utilaje!$B$4:$J$37,4,FALSE())*B99/3600*VLOOKUP(H99,Utilaje!$B$4:$J$37,9,FALSE())*CHOOSE(C99,1,1.3,1.6),0)+IFERROR(VLOOKUP(I99,Utilaje!$B$4:$J$37,4,FALSE())*B99/3600*VLOOKUP(I99,Utilaje!$B$4:$J$37,9,FALSE())*CHOOSE(C99,1,1.3,1.6),0)</f>
        <v>8.3333333333333328E-4</v>
      </c>
      <c r="G109" s="81">
        <f>IFERROR((VLOOKUP(E99,Utilaje!$B$4:$J$37,9,FALSE())+D99*60/I97)*(VLOOKUP(E99,Utilaje!$B$4:$J$37,6,FALSE())*F97+VLOOKUP(E99,Utilaje!$B$4:$J$37,7,FALSE())*G97+VLOOKUP(E99,Utilaje!$B$4:$J$37,8,FALSE())*H97)/3600*CHOOSE(C99,1,1.3,1.6),0)+IFERROR((VLOOKUP(F99,Utilaje!$B$4:$J$37,9,FALSE())+D99*60/I97)*(VLOOKUP(F99,Utilaje!$B$4:$J$37,6,FALSE())*F97+VLOOKUP(F99,Utilaje!$B$4:$J$37,7,FALSE())*G97+VLOOKUP(F99,Utilaje!$B$4:$J$37,8,FALSE())*H97)/3600*CHOOSE(C99,1,1.3,1.6),0)+IFERROR((VLOOKUP(G99,Utilaje!$B$4:$J$37,9,FALSE())+D99*60/I97)*(VLOOKUP(G99,Utilaje!$B$4:$J$37,6,FALSE())*F97+VLOOKUP(G99,Utilaje!$B$4:$J$37,7,FALSE())*G97+VLOOKUP(G99,Utilaje!$B$4:$J$37,8,FALSE())*H97)/3600*CHOOSE(C99,1,1.3,1.6),0)+IFERROR((VLOOKUP(H99,Utilaje!$B$4:$J$37,9,FALSE())+D99*60/I97)*(VLOOKUP(H99,Utilaje!$B$4:$J$37,6,FALSE())*F97+VLOOKUP(H99,Utilaje!$B$4:$J$37,7,FALSE())*G97+VLOOKUP(H99,Utilaje!$B$4:$J$37,8,FALSE())*H97)/3600*CHOOSE(C99,1,1.3,1.6),0)+IFERROR((VLOOKUP(I99,Utilaje!$B$4:$J$37,9,FALSE())+D99*60/I97)*(VLOOKUP(I99,Utilaje!$B$4:$J$37,6,FALSE())*F97+VLOOKUP(I99,Utilaje!$B$4:$J$37,7,FALSE())*G97+VLOOKUP(I99,Utilaje!$B$4:$J$37,8,FALSE())*H97)/3600*CHOOSE(C99,1,1.3,1.6),0)</f>
        <v>5.8799999999999998E-3</v>
      </c>
      <c r="H109" s="81">
        <f>G109*C97</f>
        <v>1.47E-4</v>
      </c>
      <c r="I109" s="81">
        <f>IFERROR(K97/I97,0)</f>
        <v>0</v>
      </c>
      <c r="J109" s="81">
        <f>E109+F109+G109+H109+I109</f>
        <v>6.7663166863439594E-2</v>
      </c>
      <c r="K109" s="81">
        <f>J109*D97</f>
        <v>1.6915791715859899E-2</v>
      </c>
      <c r="L109" s="81">
        <f>J109+K109</f>
        <v>8.4578958579299493E-2</v>
      </c>
      <c r="M109" s="81">
        <f>L109*E97</f>
        <v>1.6915791715859899E-2</v>
      </c>
      <c r="N109" s="83">
        <f>L109+M109</f>
        <v>0.10149475029515939</v>
      </c>
      <c r="O109" s="84">
        <f>N109*1000</f>
        <v>101.49475029515939</v>
      </c>
      <c r="Q109" s="83">
        <f>ProgramCalcul!AL9</f>
        <v>0.13577331759149941</v>
      </c>
      <c r="R109" s="84">
        <f>Q109*1000</f>
        <v>135.77331759149942</v>
      </c>
    </row>
    <row r="110" spans="1:18" s="50" customFormat="1" ht="15.75" customHeight="1" x14ac:dyDescent="0.25"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7"/>
    </row>
    <row r="111" spans="1:18" ht="15.75" customHeight="1" x14ac:dyDescent="0.25">
      <c r="A111" s="52" t="s">
        <v>152</v>
      </c>
      <c r="C111" s="53" t="s">
        <v>91</v>
      </c>
      <c r="D111" s="54" t="s">
        <v>153</v>
      </c>
      <c r="E111" s="53" t="s">
        <v>93</v>
      </c>
      <c r="F111" s="55" t="s">
        <v>154</v>
      </c>
    </row>
    <row r="112" spans="1:18" ht="24" customHeight="1" x14ac:dyDescent="0.25">
      <c r="B112" s="56" t="s">
        <v>95</v>
      </c>
      <c r="C112" s="56" t="s">
        <v>96</v>
      </c>
      <c r="D112" s="56" t="s">
        <v>97</v>
      </c>
      <c r="E112" s="56" t="s">
        <v>98</v>
      </c>
      <c r="F112" s="56" t="s">
        <v>99</v>
      </c>
      <c r="G112" s="56" t="s">
        <v>100</v>
      </c>
      <c r="H112" s="56" t="s">
        <v>101</v>
      </c>
      <c r="I112" s="56" t="s">
        <v>102</v>
      </c>
      <c r="J112" s="56" t="s">
        <v>103</v>
      </c>
      <c r="K112" s="56" t="s">
        <v>104</v>
      </c>
    </row>
    <row r="113" spans="1:18" x14ac:dyDescent="0.25">
      <c r="B113" s="57">
        <v>0</v>
      </c>
      <c r="C113" s="57">
        <v>2.5000000000000001E-2</v>
      </c>
      <c r="D113" s="57">
        <v>0.25</v>
      </c>
      <c r="E113" s="57">
        <v>0.2</v>
      </c>
      <c r="F113" s="58">
        <v>7</v>
      </c>
      <c r="G113" s="58">
        <v>9</v>
      </c>
      <c r="H113" s="58">
        <v>12</v>
      </c>
      <c r="I113" s="59">
        <v>100000</v>
      </c>
      <c r="J113" s="57">
        <v>0.03</v>
      </c>
      <c r="K113" s="58">
        <v>0</v>
      </c>
    </row>
    <row r="114" spans="1:18" ht="24" customHeight="1" x14ac:dyDescent="0.25">
      <c r="B114" s="56" t="s">
        <v>105</v>
      </c>
      <c r="C114" s="56" t="s">
        <v>106</v>
      </c>
      <c r="D114" s="56" t="s">
        <v>107</v>
      </c>
      <c r="E114" s="56" t="s">
        <v>108</v>
      </c>
      <c r="F114" s="56" t="s">
        <v>109</v>
      </c>
      <c r="G114" s="56" t="s">
        <v>110</v>
      </c>
      <c r="H114" s="56" t="s">
        <v>111</v>
      </c>
      <c r="I114" s="56" t="s">
        <v>112</v>
      </c>
    </row>
    <row r="115" spans="1:18" x14ac:dyDescent="0.25">
      <c r="B115" s="60">
        <v>0.5</v>
      </c>
      <c r="C115" s="61">
        <v>1</v>
      </c>
      <c r="D115" s="59">
        <v>40</v>
      </c>
      <c r="E115" s="62" t="s">
        <v>113</v>
      </c>
      <c r="F115" s="62" t="s">
        <v>114</v>
      </c>
      <c r="G115" s="62" t="s">
        <v>114</v>
      </c>
      <c r="H115" s="62" t="s">
        <v>114</v>
      </c>
      <c r="I115" s="62" t="s">
        <v>114</v>
      </c>
    </row>
    <row r="116" spans="1:18" x14ac:dyDescent="0.25">
      <c r="B116" s="56" t="s">
        <v>115</v>
      </c>
      <c r="C116" s="56" t="s">
        <v>116</v>
      </c>
      <c r="D116" s="56" t="s">
        <v>117</v>
      </c>
      <c r="E116" s="56" t="s">
        <v>118</v>
      </c>
      <c r="F116" s="56" t="s">
        <v>119</v>
      </c>
      <c r="G116" s="56" t="s">
        <v>120</v>
      </c>
    </row>
    <row r="117" spans="1:18" ht="24" customHeight="1" x14ac:dyDescent="0.25">
      <c r="B117" s="63">
        <v>1</v>
      </c>
      <c r="C117" s="64" t="str">
        <f>IF(ProgramCalcul!Y10=0,"Material 1",ProgramCalcul!Y10)</f>
        <v>5015 E</v>
      </c>
      <c r="D117" s="65"/>
      <c r="E117" s="65" t="s">
        <v>121</v>
      </c>
      <c r="F117" s="88">
        <f>ProgramCalcul!AH10</f>
        <v>7.8448275862068968</v>
      </c>
      <c r="G117" s="67">
        <f>IF(OR(D117="",D117=0),F117,D117*F117)</f>
        <v>7.8448275862068968</v>
      </c>
    </row>
    <row r="118" spans="1:18" x14ac:dyDescent="0.25">
      <c r="B118" s="63">
        <v>2</v>
      </c>
      <c r="C118" s="68" t="s">
        <v>122</v>
      </c>
      <c r="D118" s="69"/>
      <c r="E118" s="69" t="s">
        <v>121</v>
      </c>
      <c r="F118" s="70">
        <v>0</v>
      </c>
      <c r="G118" s="71">
        <f>IF(OR(D118="",D118=0),F118,D118*F118)</f>
        <v>0</v>
      </c>
    </row>
    <row r="119" spans="1:18" x14ac:dyDescent="0.25">
      <c r="B119" s="63">
        <v>3</v>
      </c>
      <c r="C119" s="68" t="s">
        <v>123</v>
      </c>
      <c r="D119" s="69"/>
      <c r="E119" s="69" t="s">
        <v>121</v>
      </c>
      <c r="F119" s="70">
        <v>0</v>
      </c>
      <c r="G119" s="71">
        <f>IF(OR(D119="",D119=0),F119,D119*F119)</f>
        <v>0</v>
      </c>
    </row>
    <row r="120" spans="1:18" x14ac:dyDescent="0.25">
      <c r="B120" s="63">
        <v>4</v>
      </c>
      <c r="C120" s="68" t="s">
        <v>124</v>
      </c>
      <c r="D120" s="69"/>
      <c r="E120" s="69" t="s">
        <v>121</v>
      </c>
      <c r="F120" s="70">
        <v>0</v>
      </c>
      <c r="G120" s="71">
        <f>IF(OR(D120="",D120=0),F120,D120*F120)</f>
        <v>0</v>
      </c>
    </row>
    <row r="121" spans="1:18" x14ac:dyDescent="0.25">
      <c r="B121" s="63">
        <v>5</v>
      </c>
      <c r="C121" s="68" t="s">
        <v>125</v>
      </c>
      <c r="D121" s="69"/>
      <c r="E121" s="69" t="s">
        <v>121</v>
      </c>
      <c r="F121" s="70">
        <v>0</v>
      </c>
      <c r="G121" s="71">
        <f>IF(OR(D121="",D121=0),F121,D121*F121)</f>
        <v>0</v>
      </c>
    </row>
    <row r="122" spans="1:18" ht="48" customHeight="1" x14ac:dyDescent="0.25">
      <c r="B122" s="72" t="s">
        <v>126</v>
      </c>
      <c r="C122" s="73"/>
      <c r="D122" s="74"/>
      <c r="E122" s="74"/>
      <c r="F122" s="89">
        <v>0</v>
      </c>
      <c r="G122" s="71">
        <f>IFERROR(F122/(4*I113),0)</f>
        <v>0</v>
      </c>
    </row>
    <row r="123" spans="1:18" ht="36" customHeight="1" x14ac:dyDescent="0.25">
      <c r="B123" s="76" t="s">
        <v>127</v>
      </c>
      <c r="C123" s="77"/>
      <c r="D123" s="78"/>
      <c r="E123" s="78"/>
      <c r="F123" s="78"/>
      <c r="G123" s="79">
        <f>SUM(G117:G122)</f>
        <v>7.8448275862068968</v>
      </c>
    </row>
    <row r="124" spans="1:18" ht="24" customHeight="1" x14ac:dyDescent="0.25">
      <c r="B124" s="56" t="s">
        <v>128</v>
      </c>
      <c r="C124" s="56" t="s">
        <v>129</v>
      </c>
      <c r="D124" s="56" t="s">
        <v>130</v>
      </c>
      <c r="E124" s="56" t="s">
        <v>131</v>
      </c>
      <c r="F124" s="56" t="s">
        <v>132</v>
      </c>
      <c r="G124" s="56" t="s">
        <v>133</v>
      </c>
      <c r="H124" s="56" t="s">
        <v>134</v>
      </c>
      <c r="I124" s="56" t="s">
        <v>135</v>
      </c>
      <c r="J124" s="56" t="s">
        <v>136</v>
      </c>
      <c r="K124" s="56" t="s">
        <v>137</v>
      </c>
      <c r="L124" s="56" t="s">
        <v>138</v>
      </c>
      <c r="M124" s="56" t="s">
        <v>139</v>
      </c>
      <c r="N124" s="56" t="s">
        <v>140</v>
      </c>
      <c r="O124" s="56" t="s">
        <v>141</v>
      </c>
      <c r="Q124" s="80" t="s">
        <v>142</v>
      </c>
      <c r="R124" s="80" t="s">
        <v>141</v>
      </c>
    </row>
    <row r="125" spans="1:18" x14ac:dyDescent="0.25">
      <c r="B125" s="81">
        <f>G123</f>
        <v>7.8448275862068968</v>
      </c>
      <c r="C125" s="81">
        <f>B125*(1+J113)</f>
        <v>8.0801724137931039</v>
      </c>
      <c r="D125" s="81">
        <f>C125*B113</f>
        <v>0</v>
      </c>
      <c r="E125" s="81">
        <f>C125+D125</f>
        <v>8.0801724137931039</v>
      </c>
      <c r="F125" s="81">
        <f>IFERROR(VLOOKUP(E115,Utilaje!$B$4:$J$37,4,FALSE())*B115/3600*VLOOKUP(E115,Utilaje!$B$4:$J$37,9,FALSE())*CHOOSE(C115,1,1.3,1.6),0)+IFERROR(VLOOKUP(F115,Utilaje!$B$4:$J$37,4,FALSE())*B115/3600*VLOOKUP(F115,Utilaje!$B$4:$J$37,9,FALSE())*CHOOSE(C115,1,1.3,1.6),0)+IFERROR(VLOOKUP(G115,Utilaje!$B$4:$J$37,4,FALSE())*B115/3600*VLOOKUP(G115,Utilaje!$B$4:$J$37,9,FALSE())*CHOOSE(C115,1,1.3,1.6),0)+IFERROR(VLOOKUP(H115,Utilaje!$B$4:$J$37,4,FALSE())*B115/3600*VLOOKUP(H115,Utilaje!$B$4:$J$37,9,FALSE())*CHOOSE(C115,1,1.3,1.6),0)+IFERROR(VLOOKUP(I115,Utilaje!$B$4:$J$37,4,FALSE())*B115/3600*VLOOKUP(I115,Utilaje!$B$4:$J$37,9,FALSE())*CHOOSE(C115,1,1.3,1.6),0)</f>
        <v>8.3333333333333328E-4</v>
      </c>
      <c r="G125" s="81">
        <f>IFERROR((VLOOKUP(E115,Utilaje!$B$4:$J$37,9,FALSE())+D115*60/I113)*(VLOOKUP(E115,Utilaje!$B$4:$J$37,6,FALSE())*F113+VLOOKUP(E115,Utilaje!$B$4:$J$37,7,FALSE())*G113+VLOOKUP(E115,Utilaje!$B$4:$J$37,8,FALSE())*H113)/3600*CHOOSE(C115,1,1.3,1.6),0)+IFERROR((VLOOKUP(F115,Utilaje!$B$4:$J$37,9,FALSE())+D115*60/I113)*(VLOOKUP(F115,Utilaje!$B$4:$J$37,6,FALSE())*F113+VLOOKUP(F115,Utilaje!$B$4:$J$37,7,FALSE())*G113+VLOOKUP(F115,Utilaje!$B$4:$J$37,8,FALSE())*H113)/3600*CHOOSE(C115,1,1.3,1.6),0)+IFERROR((VLOOKUP(G115,Utilaje!$B$4:$J$37,9,FALSE())+D115*60/I113)*(VLOOKUP(G115,Utilaje!$B$4:$J$37,6,FALSE())*F113+VLOOKUP(G115,Utilaje!$B$4:$J$37,7,FALSE())*G113+VLOOKUP(G115,Utilaje!$B$4:$J$37,8,FALSE())*H113)/3600*CHOOSE(C115,1,1.3,1.6),0)+IFERROR((VLOOKUP(H115,Utilaje!$B$4:$J$37,9,FALSE())+D115*60/I113)*(VLOOKUP(H115,Utilaje!$B$4:$J$37,6,FALSE())*F113+VLOOKUP(H115,Utilaje!$B$4:$J$37,7,FALSE())*G113+VLOOKUP(H115,Utilaje!$B$4:$J$37,8,FALSE())*H113)/3600*CHOOSE(C115,1,1.3,1.6),0)+IFERROR((VLOOKUP(I115,Utilaje!$B$4:$J$37,9,FALSE())+D115*60/I113)*(VLOOKUP(I115,Utilaje!$B$4:$J$37,6,FALSE())*F113+VLOOKUP(I115,Utilaje!$B$4:$J$37,7,FALSE())*G113+VLOOKUP(I115,Utilaje!$B$4:$J$37,8,FALSE())*H113)/3600*CHOOSE(C115,1,1.3,1.6),0)</f>
        <v>5.8799999999999998E-3</v>
      </c>
      <c r="H125" s="81">
        <f>G125*C113</f>
        <v>1.47E-4</v>
      </c>
      <c r="I125" s="81">
        <f>IFERROR(K113/I113,0)</f>
        <v>0</v>
      </c>
      <c r="J125" s="81">
        <f>E125+F125+G125+H125+I125</f>
        <v>8.087032747126436</v>
      </c>
      <c r="K125" s="81">
        <f>J125*D113</f>
        <v>2.021758186781609</v>
      </c>
      <c r="L125" s="81">
        <f>J125+K125</f>
        <v>10.108790933908045</v>
      </c>
      <c r="M125" s="81">
        <f>L125*E113</f>
        <v>2.021758186781609</v>
      </c>
      <c r="N125" s="83">
        <f>L125+M125</f>
        <v>12.130549120689654</v>
      </c>
      <c r="O125" s="84">
        <f>N125*1000</f>
        <v>12130.549120689655</v>
      </c>
      <c r="Q125" s="83">
        <f>ProgramCalcul!AL10</f>
        <v>18.043103448275861</v>
      </c>
      <c r="R125" s="84">
        <f>Q125*1000</f>
        <v>18043.103448275862</v>
      </c>
    </row>
    <row r="126" spans="1:18" s="50" customFormat="1" ht="15.75" customHeight="1" x14ac:dyDescent="0.25"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7"/>
    </row>
    <row r="127" spans="1:18" ht="15.75" customHeight="1" x14ac:dyDescent="0.25">
      <c r="A127" s="52" t="s">
        <v>155</v>
      </c>
      <c r="C127" s="53" t="s">
        <v>91</v>
      </c>
      <c r="D127" s="54" t="s">
        <v>156</v>
      </c>
      <c r="E127" s="53" t="s">
        <v>93</v>
      </c>
      <c r="F127" s="55" t="s">
        <v>157</v>
      </c>
    </row>
    <row r="128" spans="1:18" ht="24" customHeight="1" x14ac:dyDescent="0.25">
      <c r="B128" s="56" t="s">
        <v>95</v>
      </c>
      <c r="C128" s="56" t="s">
        <v>96</v>
      </c>
      <c r="D128" s="56" t="s">
        <v>97</v>
      </c>
      <c r="E128" s="56" t="s">
        <v>98</v>
      </c>
      <c r="F128" s="56" t="s">
        <v>99</v>
      </c>
      <c r="G128" s="56" t="s">
        <v>100</v>
      </c>
      <c r="H128" s="56" t="s">
        <v>101</v>
      </c>
      <c r="I128" s="56" t="s">
        <v>102</v>
      </c>
      <c r="J128" s="56" t="s">
        <v>103</v>
      </c>
      <c r="K128" s="56" t="s">
        <v>104</v>
      </c>
    </row>
    <row r="129" spans="1:18" x14ac:dyDescent="0.25">
      <c r="B129" s="57">
        <v>0</v>
      </c>
      <c r="C129" s="57">
        <v>2.5000000000000001E-2</v>
      </c>
      <c r="D129" s="57">
        <v>0.25</v>
      </c>
      <c r="E129" s="57">
        <v>0.2</v>
      </c>
      <c r="F129" s="58">
        <v>7</v>
      </c>
      <c r="G129" s="58">
        <v>9</v>
      </c>
      <c r="H129" s="58">
        <v>12</v>
      </c>
      <c r="I129" s="59">
        <v>100000</v>
      </c>
      <c r="J129" s="57">
        <v>0.03</v>
      </c>
      <c r="K129" s="58">
        <v>0</v>
      </c>
    </row>
    <row r="130" spans="1:18" ht="24" customHeight="1" x14ac:dyDescent="0.25">
      <c r="B130" s="56" t="s">
        <v>105</v>
      </c>
      <c r="C130" s="56" t="s">
        <v>106</v>
      </c>
      <c r="D130" s="56" t="s">
        <v>107</v>
      </c>
      <c r="E130" s="56" t="s">
        <v>108</v>
      </c>
      <c r="F130" s="56" t="s">
        <v>109</v>
      </c>
      <c r="G130" s="56" t="s">
        <v>110</v>
      </c>
      <c r="H130" s="56" t="s">
        <v>111</v>
      </c>
      <c r="I130" s="56" t="s">
        <v>112</v>
      </c>
    </row>
    <row r="131" spans="1:18" x14ac:dyDescent="0.25">
      <c r="B131" s="60">
        <v>0.5</v>
      </c>
      <c r="C131" s="61">
        <v>1</v>
      </c>
      <c r="D131" s="59">
        <v>40</v>
      </c>
      <c r="E131" s="62" t="s">
        <v>113</v>
      </c>
      <c r="F131" s="62" t="s">
        <v>114</v>
      </c>
      <c r="G131" s="62" t="s">
        <v>114</v>
      </c>
      <c r="H131" s="62" t="s">
        <v>114</v>
      </c>
      <c r="I131" s="62" t="s">
        <v>114</v>
      </c>
    </row>
    <row r="132" spans="1:18" x14ac:dyDescent="0.25">
      <c r="B132" s="56" t="s">
        <v>115</v>
      </c>
      <c r="C132" s="56" t="s">
        <v>116</v>
      </c>
      <c r="D132" s="56" t="s">
        <v>117</v>
      </c>
      <c r="E132" s="56" t="s">
        <v>118</v>
      </c>
      <c r="F132" s="56" t="s">
        <v>119</v>
      </c>
      <c r="G132" s="56" t="s">
        <v>120</v>
      </c>
    </row>
    <row r="133" spans="1:18" x14ac:dyDescent="0.25">
      <c r="B133" s="63">
        <v>1</v>
      </c>
      <c r="C133" s="64" t="str">
        <f>IF(ProgramCalcul!Y11=0,"Material 1",ProgramCalcul!Y11)</f>
        <v>Material 1</v>
      </c>
      <c r="D133" s="65"/>
      <c r="E133" s="65" t="s">
        <v>121</v>
      </c>
      <c r="F133" s="88">
        <f>ProgramCalcul!AH11</f>
        <v>0</v>
      </c>
      <c r="G133" s="67">
        <f>IF(OR(D133="",D133=0),F133,D133*F133)</f>
        <v>0</v>
      </c>
    </row>
    <row r="134" spans="1:18" x14ac:dyDescent="0.25">
      <c r="B134" s="63">
        <v>2</v>
      </c>
      <c r="C134" s="68" t="s">
        <v>122</v>
      </c>
      <c r="D134" s="69"/>
      <c r="E134" s="69" t="s">
        <v>121</v>
      </c>
      <c r="F134" s="70">
        <v>0</v>
      </c>
      <c r="G134" s="71">
        <f>IF(OR(D134="",D134=0),F134,D134*F134)</f>
        <v>0</v>
      </c>
    </row>
    <row r="135" spans="1:18" x14ac:dyDescent="0.25">
      <c r="B135" s="63">
        <v>3</v>
      </c>
      <c r="C135" s="68" t="s">
        <v>123</v>
      </c>
      <c r="D135" s="69"/>
      <c r="E135" s="69" t="s">
        <v>121</v>
      </c>
      <c r="F135" s="70">
        <v>0</v>
      </c>
      <c r="G135" s="71">
        <f>IF(OR(D135="",D135=0),F135,D135*F135)</f>
        <v>0</v>
      </c>
    </row>
    <row r="136" spans="1:18" x14ac:dyDescent="0.25">
      <c r="B136" s="63">
        <v>4</v>
      </c>
      <c r="C136" s="68" t="s">
        <v>124</v>
      </c>
      <c r="D136" s="69"/>
      <c r="E136" s="69" t="s">
        <v>121</v>
      </c>
      <c r="F136" s="70">
        <v>0</v>
      </c>
      <c r="G136" s="71">
        <f>IF(OR(D136="",D136=0),F136,D136*F136)</f>
        <v>0</v>
      </c>
    </row>
    <row r="137" spans="1:18" x14ac:dyDescent="0.25">
      <c r="B137" s="63">
        <v>5</v>
      </c>
      <c r="C137" s="68" t="s">
        <v>125</v>
      </c>
      <c r="D137" s="69"/>
      <c r="E137" s="69" t="s">
        <v>121</v>
      </c>
      <c r="F137" s="70">
        <v>0</v>
      </c>
      <c r="G137" s="71">
        <f>IF(OR(D137="",D137=0),F137,D137*F137)</f>
        <v>0</v>
      </c>
    </row>
    <row r="138" spans="1:18" ht="48" customHeight="1" x14ac:dyDescent="0.25">
      <c r="B138" s="72" t="s">
        <v>126</v>
      </c>
      <c r="C138" s="73"/>
      <c r="D138" s="74"/>
      <c r="E138" s="74"/>
      <c r="F138" s="89">
        <v>0</v>
      </c>
      <c r="G138" s="71">
        <f>IFERROR(F138/(4*I129),0)</f>
        <v>0</v>
      </c>
    </row>
    <row r="139" spans="1:18" ht="36" customHeight="1" x14ac:dyDescent="0.25">
      <c r="B139" s="76" t="s">
        <v>127</v>
      </c>
      <c r="C139" s="77"/>
      <c r="D139" s="78"/>
      <c r="E139" s="78"/>
      <c r="F139" s="78"/>
      <c r="G139" s="79">
        <f>SUM(G133:G138)</f>
        <v>0</v>
      </c>
    </row>
    <row r="140" spans="1:18" ht="24" customHeight="1" x14ac:dyDescent="0.25">
      <c r="B140" s="56" t="s">
        <v>128</v>
      </c>
      <c r="C140" s="56" t="s">
        <v>129</v>
      </c>
      <c r="D140" s="56" t="s">
        <v>130</v>
      </c>
      <c r="E140" s="56" t="s">
        <v>131</v>
      </c>
      <c r="F140" s="56" t="s">
        <v>132</v>
      </c>
      <c r="G140" s="56" t="s">
        <v>133</v>
      </c>
      <c r="H140" s="56" t="s">
        <v>134</v>
      </c>
      <c r="I140" s="56" t="s">
        <v>135</v>
      </c>
      <c r="J140" s="56" t="s">
        <v>136</v>
      </c>
      <c r="K140" s="56" t="s">
        <v>137</v>
      </c>
      <c r="L140" s="56" t="s">
        <v>138</v>
      </c>
      <c r="M140" s="56" t="s">
        <v>139</v>
      </c>
      <c r="N140" s="56" t="s">
        <v>140</v>
      </c>
      <c r="O140" s="56" t="s">
        <v>141</v>
      </c>
      <c r="Q140" s="80" t="s">
        <v>142</v>
      </c>
      <c r="R140" s="80" t="s">
        <v>141</v>
      </c>
    </row>
    <row r="141" spans="1:18" x14ac:dyDescent="0.25">
      <c r="B141" s="81">
        <f>G139</f>
        <v>0</v>
      </c>
      <c r="C141" s="81">
        <f>B141*(1+J129)</f>
        <v>0</v>
      </c>
      <c r="D141" s="81">
        <f>C141*B129</f>
        <v>0</v>
      </c>
      <c r="E141" s="81">
        <f>C141+D141</f>
        <v>0</v>
      </c>
      <c r="F141" s="81">
        <f>IFERROR(VLOOKUP(E131,Utilaje!$B$4:$J$37,4,FALSE())*B131/3600*VLOOKUP(E131,Utilaje!$B$4:$J$37,9,FALSE())*CHOOSE(C131,1,1.3,1.6),0)+IFERROR(VLOOKUP(F131,Utilaje!$B$4:$J$37,4,FALSE())*B131/3600*VLOOKUP(F131,Utilaje!$B$4:$J$37,9,FALSE())*CHOOSE(C131,1,1.3,1.6),0)+IFERROR(VLOOKUP(G131,Utilaje!$B$4:$J$37,4,FALSE())*B131/3600*VLOOKUP(G131,Utilaje!$B$4:$J$37,9,FALSE())*CHOOSE(C131,1,1.3,1.6),0)+IFERROR(VLOOKUP(H131,Utilaje!$B$4:$J$37,4,FALSE())*B131/3600*VLOOKUP(H131,Utilaje!$B$4:$J$37,9,FALSE())*CHOOSE(C131,1,1.3,1.6),0)+IFERROR(VLOOKUP(I131,Utilaje!$B$4:$J$37,4,FALSE())*B131/3600*VLOOKUP(I131,Utilaje!$B$4:$J$37,9,FALSE())*CHOOSE(C131,1,1.3,1.6),0)</f>
        <v>8.3333333333333328E-4</v>
      </c>
      <c r="G141" s="81">
        <f>IFERROR((VLOOKUP(E131,Utilaje!$B$4:$J$37,9,FALSE())+D131*60/I129)*(VLOOKUP(E131,Utilaje!$B$4:$J$37,6,FALSE())*F129+VLOOKUP(E131,Utilaje!$B$4:$J$37,7,FALSE())*G129+VLOOKUP(E131,Utilaje!$B$4:$J$37,8,FALSE())*H129)/3600*CHOOSE(C131,1,1.3,1.6),0)+IFERROR((VLOOKUP(F131,Utilaje!$B$4:$J$37,9,FALSE())+D131*60/I129)*(VLOOKUP(F131,Utilaje!$B$4:$J$37,6,FALSE())*F129+VLOOKUP(F131,Utilaje!$B$4:$J$37,7,FALSE())*G129+VLOOKUP(F131,Utilaje!$B$4:$J$37,8,FALSE())*H129)/3600*CHOOSE(C131,1,1.3,1.6),0)+IFERROR((VLOOKUP(G131,Utilaje!$B$4:$J$37,9,FALSE())+D131*60/I129)*(VLOOKUP(G131,Utilaje!$B$4:$J$37,6,FALSE())*F129+VLOOKUP(G131,Utilaje!$B$4:$J$37,7,FALSE())*G129+VLOOKUP(G131,Utilaje!$B$4:$J$37,8,FALSE())*H129)/3600*CHOOSE(C131,1,1.3,1.6),0)+IFERROR((VLOOKUP(H131,Utilaje!$B$4:$J$37,9,FALSE())+D131*60/I129)*(VLOOKUP(H131,Utilaje!$B$4:$J$37,6,FALSE())*F129+VLOOKUP(H131,Utilaje!$B$4:$J$37,7,FALSE())*G129+VLOOKUP(H131,Utilaje!$B$4:$J$37,8,FALSE())*H129)/3600*CHOOSE(C131,1,1.3,1.6),0)+IFERROR((VLOOKUP(I131,Utilaje!$B$4:$J$37,9,FALSE())+D131*60/I129)*(VLOOKUP(I131,Utilaje!$B$4:$J$37,6,FALSE())*F129+VLOOKUP(I131,Utilaje!$B$4:$J$37,7,FALSE())*G129+VLOOKUP(I131,Utilaje!$B$4:$J$37,8,FALSE())*H129)/3600*CHOOSE(C131,1,1.3,1.6),0)</f>
        <v>5.8799999999999998E-3</v>
      </c>
      <c r="H141" s="81">
        <f>G141*C129</f>
        <v>1.47E-4</v>
      </c>
      <c r="I141" s="81">
        <f>IFERROR(K129/I129,0)</f>
        <v>0</v>
      </c>
      <c r="J141" s="81">
        <f>E141+F141+G141+H141+I141</f>
        <v>6.8603333333333329E-3</v>
      </c>
      <c r="K141" s="81">
        <f>J141*D129</f>
        <v>1.7150833333333332E-3</v>
      </c>
      <c r="L141" s="81">
        <f>J141+K141</f>
        <v>8.5754166666666652E-3</v>
      </c>
      <c r="M141" s="81">
        <f>L141*E129</f>
        <v>1.7150833333333332E-3</v>
      </c>
      <c r="N141" s="83">
        <f>L141+M141</f>
        <v>1.0290499999999998E-2</v>
      </c>
      <c r="O141" s="84">
        <f>N141*1000</f>
        <v>10.290499999999998</v>
      </c>
      <c r="Q141" s="83">
        <f>ProgramCalcul!AL11</f>
        <v>0</v>
      </c>
      <c r="R141" s="84">
        <f>Q141*1000</f>
        <v>0</v>
      </c>
    </row>
    <row r="142" spans="1:18" s="50" customFormat="1" ht="15.75" customHeight="1" x14ac:dyDescent="0.25"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7"/>
    </row>
    <row r="143" spans="1:18" ht="24.75" customHeight="1" x14ac:dyDescent="0.25">
      <c r="A143" s="52" t="s">
        <v>158</v>
      </c>
      <c r="C143" s="53" t="s">
        <v>91</v>
      </c>
      <c r="D143" s="61">
        <f>ProgramCalcul!B12</f>
        <v>0</v>
      </c>
      <c r="E143" s="53" t="s">
        <v>93</v>
      </c>
      <c r="F143" s="157">
        <f>ProgramCalcul!G12</f>
        <v>0</v>
      </c>
      <c r="G143" s="157"/>
      <c r="H143" s="157"/>
    </row>
    <row r="144" spans="1:18" ht="24" customHeight="1" x14ac:dyDescent="0.25">
      <c r="B144" s="56" t="s">
        <v>95</v>
      </c>
      <c r="C144" s="56" t="s">
        <v>96</v>
      </c>
      <c r="D144" s="56" t="s">
        <v>97</v>
      </c>
      <c r="E144" s="56" t="s">
        <v>98</v>
      </c>
      <c r="F144" s="56" t="s">
        <v>99</v>
      </c>
      <c r="G144" s="56" t="s">
        <v>100</v>
      </c>
      <c r="H144" s="56" t="s">
        <v>101</v>
      </c>
      <c r="I144" s="56" t="s">
        <v>102</v>
      </c>
      <c r="J144" s="56" t="s">
        <v>103</v>
      </c>
      <c r="K144" s="56" t="s">
        <v>104</v>
      </c>
    </row>
    <row r="145" spans="1:18" x14ac:dyDescent="0.25">
      <c r="B145" s="57">
        <v>0</v>
      </c>
      <c r="C145" s="57">
        <v>2.5000000000000001E-2</v>
      </c>
      <c r="D145" s="57">
        <v>0.25</v>
      </c>
      <c r="E145" s="57">
        <v>0.2</v>
      </c>
      <c r="F145" s="58">
        <v>7</v>
      </c>
      <c r="G145" s="58">
        <v>9</v>
      </c>
      <c r="H145" s="58">
        <v>12</v>
      </c>
      <c r="I145" s="59">
        <v>100000</v>
      </c>
      <c r="J145" s="57">
        <v>0.03</v>
      </c>
      <c r="K145" s="58">
        <v>100</v>
      </c>
    </row>
    <row r="146" spans="1:18" ht="24" customHeight="1" x14ac:dyDescent="0.25">
      <c r="B146" s="56" t="s">
        <v>105</v>
      </c>
      <c r="C146" s="56" t="s">
        <v>106</v>
      </c>
      <c r="D146" s="56" t="s">
        <v>107</v>
      </c>
      <c r="E146" s="56" t="s">
        <v>108</v>
      </c>
      <c r="F146" s="56" t="s">
        <v>109</v>
      </c>
      <c r="G146" s="56" t="s">
        <v>110</v>
      </c>
      <c r="H146" s="56" t="s">
        <v>111</v>
      </c>
      <c r="I146" s="56" t="s">
        <v>112</v>
      </c>
    </row>
    <row r="147" spans="1:18" x14ac:dyDescent="0.25">
      <c r="B147" s="60">
        <v>0.5</v>
      </c>
      <c r="C147" s="61">
        <v>1</v>
      </c>
      <c r="D147" s="59">
        <v>40</v>
      </c>
      <c r="E147" s="62" t="s">
        <v>159</v>
      </c>
      <c r="F147" s="62" t="s">
        <v>114</v>
      </c>
      <c r="G147" s="62" t="s">
        <v>114</v>
      </c>
      <c r="H147" s="62" t="s">
        <v>114</v>
      </c>
      <c r="I147" s="62" t="s">
        <v>114</v>
      </c>
    </row>
    <row r="148" spans="1:18" x14ac:dyDescent="0.25">
      <c r="B148" s="56" t="s">
        <v>115</v>
      </c>
      <c r="C148" s="56" t="s">
        <v>116</v>
      </c>
      <c r="D148" s="56" t="s">
        <v>117</v>
      </c>
      <c r="E148" s="56" t="s">
        <v>118</v>
      </c>
      <c r="F148" s="56" t="s">
        <v>119</v>
      </c>
      <c r="G148" s="56" t="s">
        <v>120</v>
      </c>
    </row>
    <row r="149" spans="1:18" x14ac:dyDescent="0.25">
      <c r="B149" s="63">
        <v>1</v>
      </c>
      <c r="C149" s="64" t="str">
        <f>IF(ProgramCalcul!Y12=0,"Material 1",ProgramCalcul!Y12)</f>
        <v>Material 1</v>
      </c>
      <c r="D149" s="65"/>
      <c r="E149" s="65" t="s">
        <v>121</v>
      </c>
      <c r="F149" s="88">
        <f>ProgramCalcul!AH12</f>
        <v>0</v>
      </c>
      <c r="G149" s="67">
        <f>IF(OR(D149="",D149=0),F149,D149*F149)</f>
        <v>0</v>
      </c>
    </row>
    <row r="150" spans="1:18" x14ac:dyDescent="0.25">
      <c r="B150" s="63">
        <v>2</v>
      </c>
      <c r="C150" s="68" t="s">
        <v>122</v>
      </c>
      <c r="D150" s="69"/>
      <c r="E150" s="69" t="s">
        <v>121</v>
      </c>
      <c r="F150" s="70">
        <v>0</v>
      </c>
      <c r="G150" s="71">
        <f>IF(OR(D150="",D150=0),F150,D150*F150)</f>
        <v>0</v>
      </c>
    </row>
    <row r="151" spans="1:18" x14ac:dyDescent="0.25">
      <c r="B151" s="63">
        <v>3</v>
      </c>
      <c r="C151" s="68" t="s">
        <v>123</v>
      </c>
      <c r="D151" s="69"/>
      <c r="E151" s="69" t="s">
        <v>121</v>
      </c>
      <c r="F151" s="70">
        <v>0</v>
      </c>
      <c r="G151" s="71">
        <f>IF(OR(D151="",D151=0),F151,D151*F151)</f>
        <v>0</v>
      </c>
    </row>
    <row r="152" spans="1:18" x14ac:dyDescent="0.25">
      <c r="B152" s="63">
        <v>4</v>
      </c>
      <c r="C152" s="68" t="s">
        <v>124</v>
      </c>
      <c r="D152" s="69"/>
      <c r="E152" s="69" t="s">
        <v>121</v>
      </c>
      <c r="F152" s="70">
        <v>0</v>
      </c>
      <c r="G152" s="71">
        <f>IF(OR(D152="",D152=0),F152,D152*F152)</f>
        <v>0</v>
      </c>
    </row>
    <row r="153" spans="1:18" x14ac:dyDescent="0.25">
      <c r="B153" s="63">
        <v>5</v>
      </c>
      <c r="C153" s="68" t="s">
        <v>125</v>
      </c>
      <c r="D153" s="69"/>
      <c r="E153" s="69" t="s">
        <v>121</v>
      </c>
      <c r="F153" s="70">
        <v>0</v>
      </c>
      <c r="G153" s="71">
        <f>IF(OR(D153="",D153=0),F153,D153*F153)</f>
        <v>0</v>
      </c>
    </row>
    <row r="154" spans="1:18" ht="48" customHeight="1" x14ac:dyDescent="0.25">
      <c r="B154" s="72" t="s">
        <v>126</v>
      </c>
      <c r="C154" s="73"/>
      <c r="D154" s="74"/>
      <c r="E154" s="74"/>
      <c r="F154" s="89"/>
      <c r="G154" s="71">
        <f>IFERROR(F154/(4*I145),0)</f>
        <v>0</v>
      </c>
    </row>
    <row r="155" spans="1:18" ht="36" customHeight="1" x14ac:dyDescent="0.25">
      <c r="B155" s="76" t="s">
        <v>127</v>
      </c>
      <c r="C155" s="77"/>
      <c r="D155" s="78"/>
      <c r="E155" s="78"/>
      <c r="F155" s="78"/>
      <c r="G155" s="79">
        <f>SUM(G149:G154)</f>
        <v>0</v>
      </c>
    </row>
    <row r="156" spans="1:18" ht="24" customHeight="1" x14ac:dyDescent="0.25">
      <c r="B156" s="56" t="s">
        <v>128</v>
      </c>
      <c r="C156" s="56" t="s">
        <v>129</v>
      </c>
      <c r="D156" s="56" t="s">
        <v>130</v>
      </c>
      <c r="E156" s="56" t="s">
        <v>131</v>
      </c>
      <c r="F156" s="56" t="s">
        <v>132</v>
      </c>
      <c r="G156" s="56" t="s">
        <v>133</v>
      </c>
      <c r="H156" s="56" t="s">
        <v>134</v>
      </c>
      <c r="I156" s="56" t="s">
        <v>135</v>
      </c>
      <c r="J156" s="56" t="s">
        <v>136</v>
      </c>
      <c r="K156" s="56" t="s">
        <v>137</v>
      </c>
      <c r="L156" s="56" t="s">
        <v>138</v>
      </c>
      <c r="M156" s="56" t="s">
        <v>139</v>
      </c>
      <c r="N156" s="56" t="s">
        <v>140</v>
      </c>
      <c r="O156" s="56" t="s">
        <v>141</v>
      </c>
      <c r="Q156" s="80" t="s">
        <v>142</v>
      </c>
      <c r="R156" s="80" t="s">
        <v>141</v>
      </c>
    </row>
    <row r="157" spans="1:18" x14ac:dyDescent="0.25">
      <c r="B157" s="81">
        <f>G155</f>
        <v>0</v>
      </c>
      <c r="C157" s="81">
        <f>B157*(1+J145)</f>
        <v>0</v>
      </c>
      <c r="D157" s="81">
        <f>C157*B145</f>
        <v>0</v>
      </c>
      <c r="E157" s="81">
        <f>C157+D157</f>
        <v>0</v>
      </c>
      <c r="F157" s="81">
        <f>IFERROR(VLOOKUP(E147,Utilaje!$B$4:$J$37,4,FALSE())*B147/3600*VLOOKUP(E147,Utilaje!$B$4:$J$37,9,FALSE())*CHOOSE(C147,1,1.3,1.6),0)+IFERROR(VLOOKUP(F147,Utilaje!$B$4:$J$37,4,FALSE())*B147/3600*VLOOKUP(F147,Utilaje!$B$4:$J$37,9,FALSE())*CHOOSE(C147,1,1.3,1.6),0)+IFERROR(VLOOKUP(G147,Utilaje!$B$4:$J$37,4,FALSE())*B147/3600*VLOOKUP(G147,Utilaje!$B$4:$J$37,9,FALSE())*CHOOSE(C147,1,1.3,1.6),0)+IFERROR(VLOOKUP(H147,Utilaje!$B$4:$J$37,4,FALSE())*B147/3600*VLOOKUP(H147,Utilaje!$B$4:$J$37,9,FALSE())*CHOOSE(C147,1,1.3,1.6),0)+IFERROR(VLOOKUP(I147,Utilaje!$B$4:$J$37,4,FALSE())*B147/3600*VLOOKUP(I147,Utilaje!$B$4:$J$37,9,FALSE())*CHOOSE(C147,1,1.3,1.6),0)</f>
        <v>4.1666666666666666E-3</v>
      </c>
      <c r="G157" s="81">
        <f>IFERROR((VLOOKUP(E147,Utilaje!$B$4:$J$37,9,FALSE())+D147*60/I145)*(VLOOKUP(E147,Utilaje!$B$4:$J$37,6,FALSE())*F145+VLOOKUP(E147,Utilaje!$B$4:$J$37,7,FALSE())*G145+VLOOKUP(E147,Utilaje!$B$4:$J$37,8,FALSE())*H145)/3600*CHOOSE(C147,1,1.3,1.6),0)+IFERROR((VLOOKUP(F147,Utilaje!$B$4:$J$37,9,FALSE())+D147*60/I145)*(VLOOKUP(F147,Utilaje!$B$4:$J$37,6,FALSE())*F145+VLOOKUP(F147,Utilaje!$B$4:$J$37,7,FALSE())*G145+VLOOKUP(F147,Utilaje!$B$4:$J$37,8,FALSE())*H145)/3600*CHOOSE(C147,1,1.3,1.6),0)+IFERROR((VLOOKUP(G147,Utilaje!$B$4:$J$37,9,FALSE())+D147*60/I145)*(VLOOKUP(G147,Utilaje!$B$4:$J$37,6,FALSE())*F145+VLOOKUP(G147,Utilaje!$B$4:$J$37,7,FALSE())*G145+VLOOKUP(G147,Utilaje!$B$4:$J$37,8,FALSE())*H145)/3600*CHOOSE(C147,1,1.3,1.6),0)+IFERROR((VLOOKUP(H147,Utilaje!$B$4:$J$37,9,FALSE())+D147*60/I145)*(VLOOKUP(H147,Utilaje!$B$4:$J$37,6,FALSE())*F145+VLOOKUP(H147,Utilaje!$B$4:$J$37,7,FALSE())*G145+VLOOKUP(H147,Utilaje!$B$4:$J$37,8,FALSE())*H145)/3600*CHOOSE(C147,1,1.3,1.6),0)+IFERROR((VLOOKUP(I147,Utilaje!$B$4:$J$37,9,FALSE())+D147*60/I145)*(VLOOKUP(I147,Utilaje!$B$4:$J$37,6,FALSE())*F145+VLOOKUP(I147,Utilaje!$B$4:$J$37,7,FALSE())*G145+VLOOKUP(I147,Utilaje!$B$4:$J$37,8,FALSE())*H145)/3600*CHOOSE(C147,1,1.3,1.6),0)</f>
        <v>1.176E-2</v>
      </c>
      <c r="H157" s="81">
        <f>G157*C145</f>
        <v>2.9399999999999999E-4</v>
      </c>
      <c r="I157" s="81">
        <f>IFERROR(K145/I145,0)</f>
        <v>1E-3</v>
      </c>
      <c r="J157" s="81">
        <f>E157+F157+G157+H157+I157</f>
        <v>1.7220666666666665E-2</v>
      </c>
      <c r="K157" s="81">
        <f>J157*D145</f>
        <v>4.3051666666666663E-3</v>
      </c>
      <c r="L157" s="81">
        <f>J157+K157</f>
        <v>2.1525833333333331E-2</v>
      </c>
      <c r="M157" s="81">
        <f>L157*E145</f>
        <v>4.3051666666666663E-3</v>
      </c>
      <c r="N157" s="83">
        <f>L157+M157</f>
        <v>2.5830999999999996E-2</v>
      </c>
      <c r="O157" s="84">
        <f>N157*1000</f>
        <v>25.830999999999996</v>
      </c>
      <c r="Q157" s="83">
        <f>ProgramCalcul!AL12</f>
        <v>0</v>
      </c>
      <c r="R157" s="84">
        <f>Q157*1000</f>
        <v>0</v>
      </c>
    </row>
    <row r="158" spans="1:18" s="50" customFormat="1" ht="15.75" customHeight="1" x14ac:dyDescent="0.25"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7"/>
    </row>
    <row r="159" spans="1:18" ht="15.75" customHeight="1" x14ac:dyDescent="0.25">
      <c r="A159" s="52" t="s">
        <v>160</v>
      </c>
      <c r="C159" s="53" t="s">
        <v>91</v>
      </c>
      <c r="D159" s="61">
        <f>ProgramCalcul!B13</f>
        <v>0</v>
      </c>
      <c r="E159" s="53" t="s">
        <v>93</v>
      </c>
      <c r="F159" s="158">
        <f>ProgramCalcul!G13</f>
        <v>0</v>
      </c>
      <c r="G159" s="158"/>
      <c r="H159" s="158"/>
    </row>
    <row r="160" spans="1:18" ht="24" customHeight="1" x14ac:dyDescent="0.25">
      <c r="B160" s="56" t="s">
        <v>95</v>
      </c>
      <c r="C160" s="56" t="s">
        <v>96</v>
      </c>
      <c r="D160" s="56" t="s">
        <v>97</v>
      </c>
      <c r="E160" s="56" t="s">
        <v>98</v>
      </c>
      <c r="F160" s="56" t="s">
        <v>99</v>
      </c>
      <c r="G160" s="56" t="s">
        <v>100</v>
      </c>
      <c r="H160" s="56" t="s">
        <v>101</v>
      </c>
      <c r="I160" s="56" t="s">
        <v>102</v>
      </c>
      <c r="J160" s="56" t="s">
        <v>103</v>
      </c>
      <c r="K160" s="56" t="s">
        <v>104</v>
      </c>
    </row>
    <row r="161" spans="1:18" x14ac:dyDescent="0.25">
      <c r="B161" s="57">
        <v>0</v>
      </c>
      <c r="C161" s="57">
        <v>2.5000000000000001E-2</v>
      </c>
      <c r="D161" s="57">
        <v>0.25</v>
      </c>
      <c r="E161" s="57">
        <v>0.2</v>
      </c>
      <c r="F161" s="58">
        <v>7</v>
      </c>
      <c r="G161" s="58">
        <v>9</v>
      </c>
      <c r="H161" s="58">
        <v>12</v>
      </c>
      <c r="I161" s="59">
        <v>100000</v>
      </c>
      <c r="J161" s="57">
        <v>0.03</v>
      </c>
      <c r="K161" s="58">
        <v>100</v>
      </c>
    </row>
    <row r="162" spans="1:18" ht="24" customHeight="1" x14ac:dyDescent="0.25">
      <c r="B162" s="56" t="s">
        <v>105</v>
      </c>
      <c r="C162" s="56" t="s">
        <v>106</v>
      </c>
      <c r="D162" s="56" t="s">
        <v>107</v>
      </c>
      <c r="E162" s="56" t="s">
        <v>108</v>
      </c>
      <c r="F162" s="56" t="s">
        <v>109</v>
      </c>
      <c r="G162" s="56" t="s">
        <v>110</v>
      </c>
      <c r="H162" s="56" t="s">
        <v>111</v>
      </c>
      <c r="I162" s="56" t="s">
        <v>112</v>
      </c>
    </row>
    <row r="163" spans="1:18" x14ac:dyDescent="0.25">
      <c r="B163" s="60">
        <v>0.5</v>
      </c>
      <c r="C163" s="61">
        <v>1</v>
      </c>
      <c r="D163" s="59">
        <v>40</v>
      </c>
      <c r="E163" s="62" t="s">
        <v>161</v>
      </c>
      <c r="F163" s="62" t="s">
        <v>114</v>
      </c>
      <c r="G163" s="62" t="s">
        <v>114</v>
      </c>
      <c r="H163" s="62" t="s">
        <v>114</v>
      </c>
      <c r="I163" s="62" t="s">
        <v>114</v>
      </c>
    </row>
    <row r="164" spans="1:18" x14ac:dyDescent="0.25">
      <c r="B164" s="56" t="s">
        <v>115</v>
      </c>
      <c r="C164" s="56" t="s">
        <v>116</v>
      </c>
      <c r="D164" s="56" t="s">
        <v>117</v>
      </c>
      <c r="E164" s="56" t="s">
        <v>118</v>
      </c>
      <c r="F164" s="56" t="s">
        <v>119</v>
      </c>
      <c r="G164" s="56" t="s">
        <v>120</v>
      </c>
    </row>
    <row r="165" spans="1:18" x14ac:dyDescent="0.25">
      <c r="B165" s="63">
        <v>1</v>
      </c>
      <c r="C165" s="64" t="str">
        <f>IF(ProgramCalcul!Y13=0,"Material 1",ProgramCalcul!Y13)</f>
        <v>Material 1</v>
      </c>
      <c r="D165" s="65"/>
      <c r="E165" s="65" t="s">
        <v>121</v>
      </c>
      <c r="F165" s="88">
        <f>ProgramCalcul!AH13</f>
        <v>0</v>
      </c>
      <c r="G165" s="67">
        <f>IF(OR(D165="",D165=0),F165,D165*F165)</f>
        <v>0</v>
      </c>
    </row>
    <row r="166" spans="1:18" x14ac:dyDescent="0.25">
      <c r="B166" s="63">
        <v>2</v>
      </c>
      <c r="C166" s="68" t="s">
        <v>122</v>
      </c>
      <c r="D166" s="69"/>
      <c r="E166" s="69" t="s">
        <v>121</v>
      </c>
      <c r="F166" s="70">
        <v>0</v>
      </c>
      <c r="G166" s="71">
        <f>IF(OR(D166="",D166=0),F166,D166*F166)</f>
        <v>0</v>
      </c>
    </row>
    <row r="167" spans="1:18" x14ac:dyDescent="0.25">
      <c r="B167" s="63">
        <v>3</v>
      </c>
      <c r="C167" s="68" t="s">
        <v>123</v>
      </c>
      <c r="D167" s="69"/>
      <c r="E167" s="69" t="s">
        <v>121</v>
      </c>
      <c r="F167" s="70">
        <v>0</v>
      </c>
      <c r="G167" s="71">
        <f>IF(OR(D167="",D167=0),F167,D167*F167)</f>
        <v>0</v>
      </c>
    </row>
    <row r="168" spans="1:18" x14ac:dyDescent="0.25">
      <c r="B168" s="63">
        <v>4</v>
      </c>
      <c r="C168" s="68" t="s">
        <v>124</v>
      </c>
      <c r="D168" s="69"/>
      <c r="E168" s="69" t="s">
        <v>121</v>
      </c>
      <c r="F168" s="70">
        <v>0</v>
      </c>
      <c r="G168" s="71">
        <f>IF(OR(D168="",D168=0),F168,D168*F168)</f>
        <v>0</v>
      </c>
    </row>
    <row r="169" spans="1:18" x14ac:dyDescent="0.25">
      <c r="B169" s="63">
        <v>5</v>
      </c>
      <c r="C169" s="68" t="s">
        <v>125</v>
      </c>
      <c r="D169" s="69"/>
      <c r="E169" s="69" t="s">
        <v>121</v>
      </c>
      <c r="F169" s="70">
        <v>0</v>
      </c>
      <c r="G169" s="71">
        <f>IF(OR(D169="",D169=0),F169,D169*F169)</f>
        <v>0</v>
      </c>
    </row>
    <row r="170" spans="1:18" ht="48" customHeight="1" x14ac:dyDescent="0.25">
      <c r="B170" s="72" t="s">
        <v>126</v>
      </c>
      <c r="C170" s="73"/>
      <c r="D170" s="74"/>
      <c r="E170" s="74"/>
      <c r="F170" s="89"/>
      <c r="G170" s="71">
        <f>IFERROR(F170/(4*I161),0)</f>
        <v>0</v>
      </c>
    </row>
    <row r="171" spans="1:18" ht="36" customHeight="1" x14ac:dyDescent="0.25">
      <c r="B171" s="76" t="s">
        <v>127</v>
      </c>
      <c r="C171" s="77"/>
      <c r="D171" s="78"/>
      <c r="E171" s="78"/>
      <c r="F171" s="78"/>
      <c r="G171" s="79">
        <f>SUM(G165:G170)</f>
        <v>0</v>
      </c>
    </row>
    <row r="172" spans="1:18" ht="24" customHeight="1" x14ac:dyDescent="0.25">
      <c r="B172" s="56" t="s">
        <v>128</v>
      </c>
      <c r="C172" s="56" t="s">
        <v>129</v>
      </c>
      <c r="D172" s="56" t="s">
        <v>130</v>
      </c>
      <c r="E172" s="56" t="s">
        <v>131</v>
      </c>
      <c r="F172" s="56" t="s">
        <v>132</v>
      </c>
      <c r="G172" s="56" t="s">
        <v>133</v>
      </c>
      <c r="H172" s="56" t="s">
        <v>134</v>
      </c>
      <c r="I172" s="56" t="s">
        <v>135</v>
      </c>
      <c r="J172" s="56" t="s">
        <v>136</v>
      </c>
      <c r="K172" s="56" t="s">
        <v>137</v>
      </c>
      <c r="L172" s="56" t="s">
        <v>138</v>
      </c>
      <c r="M172" s="56" t="s">
        <v>139</v>
      </c>
      <c r="N172" s="56" t="s">
        <v>140</v>
      </c>
      <c r="O172" s="56" t="s">
        <v>141</v>
      </c>
      <c r="Q172" s="80" t="s">
        <v>142</v>
      </c>
      <c r="R172" s="80" t="s">
        <v>141</v>
      </c>
    </row>
    <row r="173" spans="1:18" x14ac:dyDescent="0.25">
      <c r="B173" s="81">
        <f>G171</f>
        <v>0</v>
      </c>
      <c r="C173" s="81">
        <f>B173*(1+J161)</f>
        <v>0</v>
      </c>
      <c r="D173" s="81">
        <f>C173*B161</f>
        <v>0</v>
      </c>
      <c r="E173" s="81">
        <f>C173+D173</f>
        <v>0</v>
      </c>
      <c r="F173" s="81">
        <f>IFERROR(VLOOKUP(E163,Utilaje!$B$4:$J$37,4,FALSE())*B163/3600*VLOOKUP(E163,Utilaje!$B$4:$J$37,9,FALSE())*CHOOSE(C163,1,1.3,1.6),0)+IFERROR(VLOOKUP(F163,Utilaje!$B$4:$J$37,4,FALSE())*B163/3600*VLOOKUP(F163,Utilaje!$B$4:$J$37,9,FALSE())*CHOOSE(C163,1,1.3,1.6),0)+IFERROR(VLOOKUP(G163,Utilaje!$B$4:$J$37,4,FALSE())*B163/3600*VLOOKUP(G163,Utilaje!$B$4:$J$37,9,FALSE())*CHOOSE(C163,1,1.3,1.6),0)+IFERROR(VLOOKUP(H163,Utilaje!$B$4:$J$37,4,FALSE())*B163/3600*VLOOKUP(H163,Utilaje!$B$4:$J$37,9,FALSE())*CHOOSE(C163,1,1.3,1.6),0)+IFERROR(VLOOKUP(I163,Utilaje!$B$4:$J$37,4,FALSE())*B163/3600*VLOOKUP(I163,Utilaje!$B$4:$J$37,9,FALSE())*CHOOSE(C163,1,1.3,1.6),0)</f>
        <v>4.5833333333333334E-3</v>
      </c>
      <c r="G173" s="81">
        <f>IFERROR((VLOOKUP(E163,Utilaje!$B$4:$J$37,9,FALSE())+D163*60/I161)*(VLOOKUP(E163,Utilaje!$B$4:$J$37,6,FALSE())*F161+VLOOKUP(E163,Utilaje!$B$4:$J$37,7,FALSE())*G161+VLOOKUP(E163,Utilaje!$B$4:$J$37,8,FALSE())*H161)/3600*CHOOSE(C163,1,1.3,1.6),0)+IFERROR((VLOOKUP(F163,Utilaje!$B$4:$J$37,9,FALSE())+D163*60/I161)*(VLOOKUP(F163,Utilaje!$B$4:$J$37,6,FALSE())*F161+VLOOKUP(F163,Utilaje!$B$4:$J$37,7,FALSE())*G161+VLOOKUP(F163,Utilaje!$B$4:$J$37,8,FALSE())*H161)/3600*CHOOSE(C163,1,1.3,1.6),0)+IFERROR((VLOOKUP(G163,Utilaje!$B$4:$J$37,9,FALSE())+D163*60/I161)*(VLOOKUP(G163,Utilaje!$B$4:$J$37,6,FALSE())*F161+VLOOKUP(G163,Utilaje!$B$4:$J$37,7,FALSE())*G161+VLOOKUP(G163,Utilaje!$B$4:$J$37,8,FALSE())*H161)/3600*CHOOSE(C163,1,1.3,1.6),0)+IFERROR((VLOOKUP(H163,Utilaje!$B$4:$J$37,9,FALSE())+D163*60/I161)*(VLOOKUP(H163,Utilaje!$B$4:$J$37,6,FALSE())*F161+VLOOKUP(H163,Utilaje!$B$4:$J$37,7,FALSE())*G161+VLOOKUP(H163,Utilaje!$B$4:$J$37,8,FALSE())*H161)/3600*CHOOSE(C163,1,1.3,1.6),0)+IFERROR((VLOOKUP(I163,Utilaje!$B$4:$J$37,9,FALSE())+D163*60/I161)*(VLOOKUP(I163,Utilaje!$B$4:$J$37,6,FALSE())*F161+VLOOKUP(I163,Utilaje!$B$4:$J$37,7,FALSE())*G161+VLOOKUP(I163,Utilaje!$B$4:$J$37,8,FALSE())*H161)/3600*CHOOSE(C163,1,1.3,1.6),0)</f>
        <v>5.8799999999999998E-3</v>
      </c>
      <c r="H173" s="81">
        <f>G173*C161</f>
        <v>1.47E-4</v>
      </c>
      <c r="I173" s="81">
        <f>IFERROR(K161/I161,0)</f>
        <v>1E-3</v>
      </c>
      <c r="J173" s="81">
        <f>E173+F173+G173+H173+I173</f>
        <v>1.1610333333333334E-2</v>
      </c>
      <c r="K173" s="81">
        <f>J173*D161</f>
        <v>2.9025833333333334E-3</v>
      </c>
      <c r="L173" s="81">
        <f>J173+K173</f>
        <v>1.4512916666666667E-2</v>
      </c>
      <c r="M173" s="81">
        <f>L173*E161</f>
        <v>2.9025833333333334E-3</v>
      </c>
      <c r="N173" s="83">
        <f>L173+M173</f>
        <v>1.74155E-2</v>
      </c>
      <c r="O173" s="84">
        <f>N173*1000</f>
        <v>17.415500000000002</v>
      </c>
      <c r="Q173" s="83">
        <f>ProgramCalcul!AL13</f>
        <v>0</v>
      </c>
      <c r="R173" s="84">
        <f>Q173*1000</f>
        <v>0</v>
      </c>
    </row>
    <row r="174" spans="1:18" s="50" customFormat="1" ht="15.75" customHeight="1" x14ac:dyDescent="0.25"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7"/>
    </row>
    <row r="175" spans="1:18" ht="15.75" customHeight="1" x14ac:dyDescent="0.25">
      <c r="A175" s="52" t="s">
        <v>162</v>
      </c>
      <c r="C175" s="53" t="s">
        <v>91</v>
      </c>
      <c r="D175" s="54" t="s">
        <v>163</v>
      </c>
      <c r="E175" s="53" t="s">
        <v>93</v>
      </c>
      <c r="F175" s="55" t="s">
        <v>164</v>
      </c>
    </row>
    <row r="176" spans="1:18" ht="24" customHeight="1" x14ac:dyDescent="0.25">
      <c r="B176" s="56" t="s">
        <v>95</v>
      </c>
      <c r="C176" s="56" t="s">
        <v>96</v>
      </c>
      <c r="D176" s="56" t="s">
        <v>97</v>
      </c>
      <c r="E176" s="56" t="s">
        <v>98</v>
      </c>
      <c r="F176" s="56" t="s">
        <v>99</v>
      </c>
      <c r="G176" s="56" t="s">
        <v>100</v>
      </c>
      <c r="H176" s="56" t="s">
        <v>101</v>
      </c>
      <c r="I176" s="56" t="s">
        <v>102</v>
      </c>
      <c r="J176" s="56" t="s">
        <v>103</v>
      </c>
      <c r="K176" s="56" t="s">
        <v>104</v>
      </c>
    </row>
    <row r="177" spans="1:18" x14ac:dyDescent="0.25">
      <c r="B177" s="57">
        <v>0</v>
      </c>
      <c r="C177" s="57">
        <v>2.5000000000000001E-2</v>
      </c>
      <c r="D177" s="57">
        <v>0.25</v>
      </c>
      <c r="E177" s="57">
        <v>0.2</v>
      </c>
      <c r="F177" s="58">
        <v>7</v>
      </c>
      <c r="G177" s="58">
        <v>9</v>
      </c>
      <c r="H177" s="58">
        <v>12</v>
      </c>
      <c r="I177" s="59">
        <v>100000</v>
      </c>
      <c r="J177" s="57">
        <v>0.03</v>
      </c>
      <c r="K177" s="58">
        <v>0</v>
      </c>
    </row>
    <row r="178" spans="1:18" ht="24" customHeight="1" x14ac:dyDescent="0.25">
      <c r="B178" s="56" t="s">
        <v>105</v>
      </c>
      <c r="C178" s="56" t="s">
        <v>106</v>
      </c>
      <c r="D178" s="56" t="s">
        <v>107</v>
      </c>
      <c r="E178" s="56" t="s">
        <v>108</v>
      </c>
      <c r="F178" s="56" t="s">
        <v>109</v>
      </c>
      <c r="G178" s="56" t="s">
        <v>110</v>
      </c>
      <c r="H178" s="56" t="s">
        <v>111</v>
      </c>
      <c r="I178" s="56" t="s">
        <v>112</v>
      </c>
    </row>
    <row r="179" spans="1:18" x14ac:dyDescent="0.25">
      <c r="B179" s="60">
        <v>0.5</v>
      </c>
      <c r="C179" s="61">
        <v>1</v>
      </c>
      <c r="D179" s="59">
        <v>40</v>
      </c>
      <c r="E179" s="62" t="s">
        <v>159</v>
      </c>
      <c r="F179" s="62" t="s">
        <v>114</v>
      </c>
      <c r="G179" s="62" t="s">
        <v>114</v>
      </c>
      <c r="H179" s="62" t="s">
        <v>114</v>
      </c>
      <c r="I179" s="62" t="s">
        <v>114</v>
      </c>
    </row>
    <row r="180" spans="1:18" x14ac:dyDescent="0.25">
      <c r="B180" s="56" t="s">
        <v>115</v>
      </c>
      <c r="C180" s="56" t="s">
        <v>116</v>
      </c>
      <c r="D180" s="56" t="s">
        <v>117</v>
      </c>
      <c r="E180" s="56" t="s">
        <v>118</v>
      </c>
      <c r="F180" s="56" t="s">
        <v>119</v>
      </c>
      <c r="G180" s="56" t="s">
        <v>120</v>
      </c>
    </row>
    <row r="181" spans="1:18" x14ac:dyDescent="0.25">
      <c r="B181" s="63">
        <v>1</v>
      </c>
      <c r="C181" s="64" t="str">
        <f>IF(ProgramCalcul!Y14=0,"Material 1",ProgramCalcul!Y14)</f>
        <v>Material 1</v>
      </c>
      <c r="D181" s="65"/>
      <c r="E181" s="65" t="s">
        <v>121</v>
      </c>
      <c r="F181" s="88">
        <f>ProgramCalcul!AH14</f>
        <v>0</v>
      </c>
      <c r="G181" s="67">
        <f>IF(OR(D181="",D181=0),F181,D181*F181)</f>
        <v>0</v>
      </c>
    </row>
    <row r="182" spans="1:18" x14ac:dyDescent="0.25">
      <c r="B182" s="63">
        <v>2</v>
      </c>
      <c r="C182" s="68" t="s">
        <v>122</v>
      </c>
      <c r="D182" s="69"/>
      <c r="E182" s="69" t="s">
        <v>121</v>
      </c>
      <c r="F182" s="70">
        <v>0</v>
      </c>
      <c r="G182" s="71">
        <f>IF(OR(D182="",D182=0),F182,D182*F182)</f>
        <v>0</v>
      </c>
    </row>
    <row r="183" spans="1:18" x14ac:dyDescent="0.25">
      <c r="B183" s="63">
        <v>3</v>
      </c>
      <c r="C183" s="68" t="s">
        <v>123</v>
      </c>
      <c r="D183" s="69"/>
      <c r="E183" s="69" t="s">
        <v>121</v>
      </c>
      <c r="F183" s="70">
        <v>0</v>
      </c>
      <c r="G183" s="71">
        <f>IF(OR(D183="",D183=0),F183,D183*F183)</f>
        <v>0</v>
      </c>
    </row>
    <row r="184" spans="1:18" x14ac:dyDescent="0.25">
      <c r="B184" s="63">
        <v>4</v>
      </c>
      <c r="C184" s="68" t="s">
        <v>124</v>
      </c>
      <c r="D184" s="69"/>
      <c r="E184" s="69" t="s">
        <v>121</v>
      </c>
      <c r="F184" s="70">
        <v>0</v>
      </c>
      <c r="G184" s="71">
        <f>IF(OR(D184="",D184=0),F184,D184*F184)</f>
        <v>0</v>
      </c>
    </row>
    <row r="185" spans="1:18" x14ac:dyDescent="0.25">
      <c r="B185" s="63">
        <v>5</v>
      </c>
      <c r="C185" s="68" t="s">
        <v>125</v>
      </c>
      <c r="D185" s="69"/>
      <c r="E185" s="69" t="s">
        <v>121</v>
      </c>
      <c r="F185" s="70">
        <v>0</v>
      </c>
      <c r="G185" s="71">
        <f>IF(OR(D185="",D185=0),F185,D185*F185)</f>
        <v>0</v>
      </c>
    </row>
    <row r="186" spans="1:18" ht="48" customHeight="1" x14ac:dyDescent="0.25">
      <c r="B186" s="72" t="s">
        <v>126</v>
      </c>
      <c r="C186" s="73"/>
      <c r="D186" s="74"/>
      <c r="E186" s="74"/>
      <c r="F186" s="89">
        <v>0</v>
      </c>
      <c r="G186" s="71">
        <f>IFERROR(F186/(4*I177),0)</f>
        <v>0</v>
      </c>
    </row>
    <row r="187" spans="1:18" ht="36" customHeight="1" x14ac:dyDescent="0.25">
      <c r="B187" s="76" t="s">
        <v>127</v>
      </c>
      <c r="C187" s="77"/>
      <c r="D187" s="78"/>
      <c r="E187" s="78"/>
      <c r="F187" s="78"/>
      <c r="G187" s="79">
        <f>SUM(G181:G186)</f>
        <v>0</v>
      </c>
    </row>
    <row r="188" spans="1:18" ht="24" customHeight="1" x14ac:dyDescent="0.25">
      <c r="B188" s="56" t="s">
        <v>128</v>
      </c>
      <c r="C188" s="56" t="s">
        <v>129</v>
      </c>
      <c r="D188" s="56" t="s">
        <v>130</v>
      </c>
      <c r="E188" s="56" t="s">
        <v>131</v>
      </c>
      <c r="F188" s="56" t="s">
        <v>132</v>
      </c>
      <c r="G188" s="56" t="s">
        <v>133</v>
      </c>
      <c r="H188" s="56" t="s">
        <v>134</v>
      </c>
      <c r="I188" s="56" t="s">
        <v>135</v>
      </c>
      <c r="J188" s="56" t="s">
        <v>136</v>
      </c>
      <c r="K188" s="56" t="s">
        <v>137</v>
      </c>
      <c r="L188" s="56" t="s">
        <v>138</v>
      </c>
      <c r="M188" s="56" t="s">
        <v>139</v>
      </c>
      <c r="N188" s="56" t="s">
        <v>140</v>
      </c>
      <c r="O188" s="56" t="s">
        <v>141</v>
      </c>
      <c r="Q188" s="80" t="s">
        <v>142</v>
      </c>
      <c r="R188" s="80" t="s">
        <v>141</v>
      </c>
    </row>
    <row r="189" spans="1:18" x14ac:dyDescent="0.25">
      <c r="B189" s="81">
        <f>G187</f>
        <v>0</v>
      </c>
      <c r="C189" s="81">
        <f>B189*(1+J177)</f>
        <v>0</v>
      </c>
      <c r="D189" s="81">
        <f>C189*B177</f>
        <v>0</v>
      </c>
      <c r="E189" s="81">
        <f>C189+D189</f>
        <v>0</v>
      </c>
      <c r="F189" s="81">
        <f>IFERROR(VLOOKUP(E179,Utilaje!$B$4:$J$37,4,FALSE())*B179/3600*VLOOKUP(E179,Utilaje!$B$4:$J$37,9,FALSE())*CHOOSE(C179,1,1.3,1.6),0)+IFERROR(VLOOKUP(F179,Utilaje!$B$4:$J$37,4,FALSE())*B179/3600*VLOOKUP(F179,Utilaje!$B$4:$J$37,9,FALSE())*CHOOSE(C179,1,1.3,1.6),0)+IFERROR(VLOOKUP(G179,Utilaje!$B$4:$J$37,4,FALSE())*B179/3600*VLOOKUP(G179,Utilaje!$B$4:$J$37,9,FALSE())*CHOOSE(C179,1,1.3,1.6),0)+IFERROR(VLOOKUP(H179,Utilaje!$B$4:$J$37,4,FALSE())*B179/3600*VLOOKUP(H179,Utilaje!$B$4:$J$37,9,FALSE())*CHOOSE(C179,1,1.3,1.6),0)+IFERROR(VLOOKUP(I179,Utilaje!$B$4:$J$37,4,FALSE())*B179/3600*VLOOKUP(I179,Utilaje!$B$4:$J$37,9,FALSE())*CHOOSE(C179,1,1.3,1.6),0)</f>
        <v>4.1666666666666666E-3</v>
      </c>
      <c r="G189" s="81">
        <f>IFERROR((VLOOKUP(E179,Utilaje!$B$4:$J$37,9,FALSE())+D179*60/I177)*(VLOOKUP(E179,Utilaje!$B$4:$J$37,6,FALSE())*F177+VLOOKUP(E179,Utilaje!$B$4:$J$37,7,FALSE())*G177+VLOOKUP(E179,Utilaje!$B$4:$J$37,8,FALSE())*H177)/3600*CHOOSE(C179,1,1.3,1.6),0)+IFERROR((VLOOKUP(F179,Utilaje!$B$4:$J$37,9,FALSE())+D179*60/I177)*(VLOOKUP(F179,Utilaje!$B$4:$J$37,6,FALSE())*F177+VLOOKUP(F179,Utilaje!$B$4:$J$37,7,FALSE())*G177+VLOOKUP(F179,Utilaje!$B$4:$J$37,8,FALSE())*H177)/3600*CHOOSE(C179,1,1.3,1.6),0)+IFERROR((VLOOKUP(G179,Utilaje!$B$4:$J$37,9,FALSE())+D179*60/I177)*(VLOOKUP(G179,Utilaje!$B$4:$J$37,6,FALSE())*F177+VLOOKUP(G179,Utilaje!$B$4:$J$37,7,FALSE())*G177+VLOOKUP(G179,Utilaje!$B$4:$J$37,8,FALSE())*H177)/3600*CHOOSE(C179,1,1.3,1.6),0)+IFERROR((VLOOKUP(H179,Utilaje!$B$4:$J$37,9,FALSE())+D179*60/I177)*(VLOOKUP(H179,Utilaje!$B$4:$J$37,6,FALSE())*F177+VLOOKUP(H179,Utilaje!$B$4:$J$37,7,FALSE())*G177+VLOOKUP(H179,Utilaje!$B$4:$J$37,8,FALSE())*H177)/3600*CHOOSE(C179,1,1.3,1.6),0)+IFERROR((VLOOKUP(I179,Utilaje!$B$4:$J$37,9,FALSE())+D179*60/I177)*(VLOOKUP(I179,Utilaje!$B$4:$J$37,6,FALSE())*F177+VLOOKUP(I179,Utilaje!$B$4:$J$37,7,FALSE())*G177+VLOOKUP(I179,Utilaje!$B$4:$J$37,8,FALSE())*H177)/3600*CHOOSE(C179,1,1.3,1.6),0)</f>
        <v>1.176E-2</v>
      </c>
      <c r="H189" s="81">
        <f>G189*C177</f>
        <v>2.9399999999999999E-4</v>
      </c>
      <c r="I189" s="81">
        <f>IFERROR(K177/I177,0)</f>
        <v>0</v>
      </c>
      <c r="J189" s="81">
        <f>E189+F189+G189+H189+I189</f>
        <v>1.6220666666666664E-2</v>
      </c>
      <c r="K189" s="81">
        <f>J189*D177</f>
        <v>4.0551666666666661E-3</v>
      </c>
      <c r="L189" s="81">
        <f>J189+K189</f>
        <v>2.027583333333333E-2</v>
      </c>
      <c r="M189" s="81">
        <f>L189*E177</f>
        <v>4.0551666666666661E-3</v>
      </c>
      <c r="N189" s="83">
        <f>L189+M189</f>
        <v>2.4330999999999995E-2</v>
      </c>
      <c r="O189" s="84">
        <f>N189*1000</f>
        <v>24.330999999999996</v>
      </c>
      <c r="Q189" s="83">
        <f>ProgramCalcul!AL14</f>
        <v>0</v>
      </c>
      <c r="R189" s="84">
        <f>Q189*1000</f>
        <v>0</v>
      </c>
    </row>
    <row r="190" spans="1:18" s="50" customFormat="1" ht="15.75" customHeight="1" x14ac:dyDescent="0.25"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7"/>
    </row>
    <row r="191" spans="1:18" ht="15.75" customHeight="1" x14ac:dyDescent="0.25">
      <c r="A191" s="52" t="s">
        <v>165</v>
      </c>
      <c r="C191" s="53" t="s">
        <v>91</v>
      </c>
      <c r="D191" s="54" t="s">
        <v>166</v>
      </c>
      <c r="E191" s="53" t="s">
        <v>93</v>
      </c>
      <c r="F191" s="55" t="s">
        <v>167</v>
      </c>
    </row>
    <row r="192" spans="1:18" ht="24" customHeight="1" x14ac:dyDescent="0.25">
      <c r="B192" s="56" t="s">
        <v>95</v>
      </c>
      <c r="C192" s="56" t="s">
        <v>96</v>
      </c>
      <c r="D192" s="56" t="s">
        <v>97</v>
      </c>
      <c r="E192" s="56" t="s">
        <v>98</v>
      </c>
      <c r="F192" s="56" t="s">
        <v>99</v>
      </c>
      <c r="G192" s="56" t="s">
        <v>100</v>
      </c>
      <c r="H192" s="56" t="s">
        <v>101</v>
      </c>
      <c r="I192" s="56" t="s">
        <v>102</v>
      </c>
      <c r="J192" s="56" t="s">
        <v>103</v>
      </c>
      <c r="K192" s="56" t="s">
        <v>104</v>
      </c>
    </row>
    <row r="193" spans="1:18" x14ac:dyDescent="0.25">
      <c r="B193" s="57">
        <v>0</v>
      </c>
      <c r="C193" s="57">
        <v>2.5000000000000001E-2</v>
      </c>
      <c r="D193" s="57">
        <v>0.25</v>
      </c>
      <c r="E193" s="57">
        <v>0.2</v>
      </c>
      <c r="F193" s="58">
        <v>7</v>
      </c>
      <c r="G193" s="58">
        <v>9</v>
      </c>
      <c r="H193" s="58">
        <v>12</v>
      </c>
      <c r="I193" s="59">
        <v>100000</v>
      </c>
      <c r="J193" s="57">
        <v>0.03</v>
      </c>
      <c r="K193" s="58">
        <v>0</v>
      </c>
    </row>
    <row r="194" spans="1:18" ht="24" customHeight="1" x14ac:dyDescent="0.25">
      <c r="B194" s="56" t="s">
        <v>105</v>
      </c>
      <c r="C194" s="56" t="s">
        <v>106</v>
      </c>
      <c r="D194" s="56" t="s">
        <v>107</v>
      </c>
      <c r="E194" s="56" t="s">
        <v>108</v>
      </c>
      <c r="F194" s="56" t="s">
        <v>109</v>
      </c>
      <c r="G194" s="56" t="s">
        <v>110</v>
      </c>
      <c r="H194" s="56" t="s">
        <v>111</v>
      </c>
      <c r="I194" s="56" t="s">
        <v>112</v>
      </c>
    </row>
    <row r="195" spans="1:18" x14ac:dyDescent="0.25">
      <c r="B195" s="60">
        <v>0.5</v>
      </c>
      <c r="C195" s="61">
        <v>1</v>
      </c>
      <c r="D195" s="59">
        <v>40</v>
      </c>
      <c r="E195" s="62" t="s">
        <v>159</v>
      </c>
      <c r="F195" s="62" t="s">
        <v>114</v>
      </c>
      <c r="G195" s="62" t="s">
        <v>114</v>
      </c>
      <c r="H195" s="62" t="s">
        <v>114</v>
      </c>
      <c r="I195" s="62" t="s">
        <v>114</v>
      </c>
    </row>
    <row r="196" spans="1:18" x14ac:dyDescent="0.25">
      <c r="B196" s="56" t="s">
        <v>115</v>
      </c>
      <c r="C196" s="56" t="s">
        <v>116</v>
      </c>
      <c r="D196" s="56" t="s">
        <v>117</v>
      </c>
      <c r="E196" s="56" t="s">
        <v>118</v>
      </c>
      <c r="F196" s="56" t="s">
        <v>119</v>
      </c>
      <c r="G196" s="56" t="s">
        <v>120</v>
      </c>
    </row>
    <row r="197" spans="1:18" x14ac:dyDescent="0.25">
      <c r="B197" s="63">
        <v>1</v>
      </c>
      <c r="C197" s="64" t="str">
        <f>IF(ProgramCalcul!Y15=0,"Material 1",ProgramCalcul!Y15)</f>
        <v>Material 1</v>
      </c>
      <c r="D197" s="65"/>
      <c r="E197" s="65" t="s">
        <v>121</v>
      </c>
      <c r="F197" s="88">
        <f>ProgramCalcul!AH15</f>
        <v>0</v>
      </c>
      <c r="G197" s="67">
        <f>IF(OR(D197="",D197=0),F197,D197*F197)</f>
        <v>0</v>
      </c>
    </row>
    <row r="198" spans="1:18" x14ac:dyDescent="0.25">
      <c r="B198" s="63">
        <v>2</v>
      </c>
      <c r="C198" s="68" t="s">
        <v>122</v>
      </c>
      <c r="D198" s="69"/>
      <c r="E198" s="69" t="s">
        <v>121</v>
      </c>
      <c r="F198" s="70">
        <v>0</v>
      </c>
      <c r="G198" s="71">
        <f>IF(OR(D198="",D198=0),F198,D198*F198)</f>
        <v>0</v>
      </c>
    </row>
    <row r="199" spans="1:18" x14ac:dyDescent="0.25">
      <c r="B199" s="63">
        <v>3</v>
      </c>
      <c r="C199" s="68" t="s">
        <v>123</v>
      </c>
      <c r="D199" s="69"/>
      <c r="E199" s="69" t="s">
        <v>121</v>
      </c>
      <c r="F199" s="70">
        <v>0</v>
      </c>
      <c r="G199" s="71">
        <f>IF(OR(D199="",D199=0),F199,D199*F199)</f>
        <v>0</v>
      </c>
    </row>
    <row r="200" spans="1:18" x14ac:dyDescent="0.25">
      <c r="B200" s="63">
        <v>4</v>
      </c>
      <c r="C200" s="68" t="s">
        <v>124</v>
      </c>
      <c r="D200" s="69"/>
      <c r="E200" s="69" t="s">
        <v>121</v>
      </c>
      <c r="F200" s="70">
        <v>0</v>
      </c>
      <c r="G200" s="71">
        <f>IF(OR(D200="",D200=0),F200,D200*F200)</f>
        <v>0</v>
      </c>
    </row>
    <row r="201" spans="1:18" x14ac:dyDescent="0.25">
      <c r="B201" s="63">
        <v>5</v>
      </c>
      <c r="C201" s="68" t="s">
        <v>125</v>
      </c>
      <c r="D201" s="69"/>
      <c r="E201" s="69" t="s">
        <v>121</v>
      </c>
      <c r="F201" s="70">
        <v>0</v>
      </c>
      <c r="G201" s="71">
        <f>IF(OR(D201="",D201=0),F201,D201*F201)</f>
        <v>0</v>
      </c>
    </row>
    <row r="202" spans="1:18" ht="48" customHeight="1" x14ac:dyDescent="0.25">
      <c r="B202" s="72" t="s">
        <v>126</v>
      </c>
      <c r="C202" s="73"/>
      <c r="D202" s="74"/>
      <c r="E202" s="74"/>
      <c r="F202" s="89">
        <v>0</v>
      </c>
      <c r="G202" s="71">
        <f>IFERROR(F202/(4*I193),0)</f>
        <v>0</v>
      </c>
    </row>
    <row r="203" spans="1:18" ht="36" customHeight="1" x14ac:dyDescent="0.25">
      <c r="B203" s="76" t="s">
        <v>127</v>
      </c>
      <c r="C203" s="77"/>
      <c r="D203" s="78"/>
      <c r="E203" s="78"/>
      <c r="F203" s="78"/>
      <c r="G203" s="79">
        <f>SUM(G197:G202)</f>
        <v>0</v>
      </c>
    </row>
    <row r="204" spans="1:18" ht="24" customHeight="1" x14ac:dyDescent="0.25">
      <c r="B204" s="56" t="s">
        <v>128</v>
      </c>
      <c r="C204" s="56" t="s">
        <v>129</v>
      </c>
      <c r="D204" s="56" t="s">
        <v>130</v>
      </c>
      <c r="E204" s="56" t="s">
        <v>131</v>
      </c>
      <c r="F204" s="56" t="s">
        <v>132</v>
      </c>
      <c r="G204" s="56" t="s">
        <v>133</v>
      </c>
      <c r="H204" s="56" t="s">
        <v>134</v>
      </c>
      <c r="I204" s="56" t="s">
        <v>135</v>
      </c>
      <c r="J204" s="56" t="s">
        <v>136</v>
      </c>
      <c r="K204" s="56" t="s">
        <v>137</v>
      </c>
      <c r="L204" s="56" t="s">
        <v>138</v>
      </c>
      <c r="M204" s="56" t="s">
        <v>139</v>
      </c>
      <c r="N204" s="56" t="s">
        <v>140</v>
      </c>
      <c r="O204" s="56" t="s">
        <v>141</v>
      </c>
      <c r="Q204" s="80" t="s">
        <v>142</v>
      </c>
      <c r="R204" s="80" t="s">
        <v>141</v>
      </c>
    </row>
    <row r="205" spans="1:18" x14ac:dyDescent="0.25">
      <c r="B205" s="81">
        <f>G203</f>
        <v>0</v>
      </c>
      <c r="C205" s="81">
        <f>B205*(1+J193)</f>
        <v>0</v>
      </c>
      <c r="D205" s="81">
        <f>C205*B193</f>
        <v>0</v>
      </c>
      <c r="E205" s="81">
        <f>C205+D205</f>
        <v>0</v>
      </c>
      <c r="F205" s="81">
        <f>IFERROR(VLOOKUP(E195,Utilaje!$B$4:$J$37,4,FALSE())*B195/3600*VLOOKUP(E195,Utilaje!$B$4:$J$37,9,FALSE())*CHOOSE(C195,1,1.3,1.6),0)+IFERROR(VLOOKUP(F195,Utilaje!$B$4:$J$37,4,FALSE())*B195/3600*VLOOKUP(F195,Utilaje!$B$4:$J$37,9,FALSE())*CHOOSE(C195,1,1.3,1.6),0)+IFERROR(VLOOKUP(G195,Utilaje!$B$4:$J$37,4,FALSE())*B195/3600*VLOOKUP(G195,Utilaje!$B$4:$J$37,9,FALSE())*CHOOSE(C195,1,1.3,1.6),0)+IFERROR(VLOOKUP(H195,Utilaje!$B$4:$J$37,4,FALSE())*B195/3600*VLOOKUP(H195,Utilaje!$B$4:$J$37,9,FALSE())*CHOOSE(C195,1,1.3,1.6),0)+IFERROR(VLOOKUP(I195,Utilaje!$B$4:$J$37,4,FALSE())*B195/3600*VLOOKUP(I195,Utilaje!$B$4:$J$37,9,FALSE())*CHOOSE(C195,1,1.3,1.6),0)</f>
        <v>4.1666666666666666E-3</v>
      </c>
      <c r="G205" s="81">
        <f>IFERROR((VLOOKUP(E195,Utilaje!$B$4:$J$37,9,FALSE())+D195*60/I193)*(VLOOKUP(E195,Utilaje!$B$4:$J$37,6,FALSE())*F193+VLOOKUP(E195,Utilaje!$B$4:$J$37,7,FALSE())*G193+VLOOKUP(E195,Utilaje!$B$4:$J$37,8,FALSE())*H193)/3600*CHOOSE(C195,1,1.3,1.6),0)+IFERROR((VLOOKUP(F195,Utilaje!$B$4:$J$37,9,FALSE())+D195*60/I193)*(VLOOKUP(F195,Utilaje!$B$4:$J$37,6,FALSE())*F193+VLOOKUP(F195,Utilaje!$B$4:$J$37,7,FALSE())*G193+VLOOKUP(F195,Utilaje!$B$4:$J$37,8,FALSE())*H193)/3600*CHOOSE(C195,1,1.3,1.6),0)+IFERROR((VLOOKUP(G195,Utilaje!$B$4:$J$37,9,FALSE())+D195*60/I193)*(VLOOKUP(G195,Utilaje!$B$4:$J$37,6,FALSE())*F193+VLOOKUP(G195,Utilaje!$B$4:$J$37,7,FALSE())*G193+VLOOKUP(G195,Utilaje!$B$4:$J$37,8,FALSE())*H193)/3600*CHOOSE(C195,1,1.3,1.6),0)+IFERROR((VLOOKUP(H195,Utilaje!$B$4:$J$37,9,FALSE())+D195*60/I193)*(VLOOKUP(H195,Utilaje!$B$4:$J$37,6,FALSE())*F193+VLOOKUP(H195,Utilaje!$B$4:$J$37,7,FALSE())*G193+VLOOKUP(H195,Utilaje!$B$4:$J$37,8,FALSE())*H193)/3600*CHOOSE(C195,1,1.3,1.6),0)+IFERROR((VLOOKUP(I195,Utilaje!$B$4:$J$37,9,FALSE())+D195*60/I193)*(VLOOKUP(I195,Utilaje!$B$4:$J$37,6,FALSE())*F193+VLOOKUP(I195,Utilaje!$B$4:$J$37,7,FALSE())*G193+VLOOKUP(I195,Utilaje!$B$4:$J$37,8,FALSE())*H193)/3600*CHOOSE(C195,1,1.3,1.6),0)</f>
        <v>1.176E-2</v>
      </c>
      <c r="H205" s="81">
        <f>G205*C193</f>
        <v>2.9399999999999999E-4</v>
      </c>
      <c r="I205" s="81">
        <f>IFERROR(K193/I193,0)</f>
        <v>0</v>
      </c>
      <c r="J205" s="81">
        <f>E205+F205+G205+H205+I205</f>
        <v>1.6220666666666664E-2</v>
      </c>
      <c r="K205" s="81">
        <f>J205*D193</f>
        <v>4.0551666666666661E-3</v>
      </c>
      <c r="L205" s="81">
        <f>J205+K205</f>
        <v>2.027583333333333E-2</v>
      </c>
      <c r="M205" s="81">
        <f>L205*E193</f>
        <v>4.0551666666666661E-3</v>
      </c>
      <c r="N205" s="83">
        <f>L205+M205</f>
        <v>2.4330999999999995E-2</v>
      </c>
      <c r="O205" s="84">
        <f>N205*1000</f>
        <v>24.330999999999996</v>
      </c>
      <c r="Q205" s="83">
        <f>ProgramCalcul!AL15</f>
        <v>0</v>
      </c>
      <c r="R205" s="84">
        <f>Q205*1000</f>
        <v>0</v>
      </c>
    </row>
    <row r="206" spans="1:18" s="50" customFormat="1" ht="15.75" customHeight="1" x14ac:dyDescent="0.25"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7"/>
    </row>
    <row r="207" spans="1:18" ht="15.75" customHeight="1" x14ac:dyDescent="0.25">
      <c r="A207" s="52" t="s">
        <v>168</v>
      </c>
      <c r="C207" s="53" t="s">
        <v>91</v>
      </c>
      <c r="D207" s="54" t="s">
        <v>169</v>
      </c>
      <c r="E207" s="53" t="s">
        <v>93</v>
      </c>
      <c r="F207" s="55" t="s">
        <v>170</v>
      </c>
    </row>
    <row r="208" spans="1:18" ht="24" customHeight="1" x14ac:dyDescent="0.25">
      <c r="B208" s="56" t="s">
        <v>95</v>
      </c>
      <c r="C208" s="56" t="s">
        <v>96</v>
      </c>
      <c r="D208" s="56" t="s">
        <v>97</v>
      </c>
      <c r="E208" s="56" t="s">
        <v>98</v>
      </c>
      <c r="F208" s="56" t="s">
        <v>99</v>
      </c>
      <c r="G208" s="56" t="s">
        <v>100</v>
      </c>
      <c r="H208" s="56" t="s">
        <v>101</v>
      </c>
      <c r="I208" s="56" t="s">
        <v>102</v>
      </c>
      <c r="J208" s="56" t="s">
        <v>103</v>
      </c>
      <c r="K208" s="56" t="s">
        <v>104</v>
      </c>
    </row>
    <row r="209" spans="1:18" x14ac:dyDescent="0.25">
      <c r="B209" s="57">
        <v>0</v>
      </c>
      <c r="C209" s="57">
        <v>2.5000000000000001E-2</v>
      </c>
      <c r="D209" s="57">
        <v>0.25</v>
      </c>
      <c r="E209" s="57">
        <v>0.2</v>
      </c>
      <c r="F209" s="58">
        <v>7</v>
      </c>
      <c r="G209" s="58">
        <v>9</v>
      </c>
      <c r="H209" s="58">
        <v>12</v>
      </c>
      <c r="I209" s="59">
        <v>100000</v>
      </c>
      <c r="J209" s="57">
        <v>0.03</v>
      </c>
      <c r="K209" s="58">
        <v>0</v>
      </c>
    </row>
    <row r="210" spans="1:18" ht="24" customHeight="1" x14ac:dyDescent="0.25">
      <c r="B210" s="56" t="s">
        <v>105</v>
      </c>
      <c r="C210" s="56" t="s">
        <v>106</v>
      </c>
      <c r="D210" s="56" t="s">
        <v>107</v>
      </c>
      <c r="E210" s="56" t="s">
        <v>108</v>
      </c>
      <c r="F210" s="56" t="s">
        <v>109</v>
      </c>
      <c r="G210" s="56" t="s">
        <v>110</v>
      </c>
      <c r="H210" s="56" t="s">
        <v>111</v>
      </c>
      <c r="I210" s="56" t="s">
        <v>112</v>
      </c>
    </row>
    <row r="211" spans="1:18" x14ac:dyDescent="0.25">
      <c r="B211" s="60">
        <v>0.5</v>
      </c>
      <c r="C211" s="61">
        <v>1</v>
      </c>
      <c r="D211" s="59">
        <v>40</v>
      </c>
      <c r="E211" s="62" t="s">
        <v>161</v>
      </c>
      <c r="F211" s="62" t="s">
        <v>114</v>
      </c>
      <c r="G211" s="62" t="s">
        <v>114</v>
      </c>
      <c r="H211" s="62" t="s">
        <v>114</v>
      </c>
      <c r="I211" s="62" t="s">
        <v>114</v>
      </c>
    </row>
    <row r="212" spans="1:18" x14ac:dyDescent="0.25">
      <c r="B212" s="56" t="s">
        <v>115</v>
      </c>
      <c r="C212" s="56" t="s">
        <v>116</v>
      </c>
      <c r="D212" s="56" t="s">
        <v>117</v>
      </c>
      <c r="E212" s="56" t="s">
        <v>118</v>
      </c>
      <c r="F212" s="56" t="s">
        <v>119</v>
      </c>
      <c r="G212" s="56" t="s">
        <v>120</v>
      </c>
    </row>
    <row r="213" spans="1:18" x14ac:dyDescent="0.25">
      <c r="B213" s="63">
        <v>1</v>
      </c>
      <c r="C213" s="64" t="str">
        <f>IF(ProgramCalcul!Y16=0,"Material 1",ProgramCalcul!Y16)</f>
        <v>Material 1</v>
      </c>
      <c r="D213" s="65"/>
      <c r="E213" s="65" t="s">
        <v>121</v>
      </c>
      <c r="F213" s="88">
        <f>ProgramCalcul!AH16</f>
        <v>0</v>
      </c>
      <c r="G213" s="67">
        <f>IF(OR(D213="",D213=0),F213,D213*F213)</f>
        <v>0</v>
      </c>
    </row>
    <row r="214" spans="1:18" x14ac:dyDescent="0.25">
      <c r="B214" s="63">
        <v>2</v>
      </c>
      <c r="C214" s="68" t="s">
        <v>122</v>
      </c>
      <c r="D214" s="69"/>
      <c r="E214" s="69" t="s">
        <v>121</v>
      </c>
      <c r="F214" s="70">
        <v>0</v>
      </c>
      <c r="G214" s="71">
        <f>IF(OR(D214="",D214=0),F214,D214*F214)</f>
        <v>0</v>
      </c>
    </row>
    <row r="215" spans="1:18" x14ac:dyDescent="0.25">
      <c r="B215" s="63">
        <v>3</v>
      </c>
      <c r="C215" s="68" t="s">
        <v>123</v>
      </c>
      <c r="D215" s="69"/>
      <c r="E215" s="69" t="s">
        <v>121</v>
      </c>
      <c r="F215" s="70">
        <v>0</v>
      </c>
      <c r="G215" s="71">
        <f>IF(OR(D215="",D215=0),F215,D215*F215)</f>
        <v>0</v>
      </c>
    </row>
    <row r="216" spans="1:18" x14ac:dyDescent="0.25">
      <c r="B216" s="63">
        <v>4</v>
      </c>
      <c r="C216" s="68" t="s">
        <v>124</v>
      </c>
      <c r="D216" s="69"/>
      <c r="E216" s="69" t="s">
        <v>121</v>
      </c>
      <c r="F216" s="70">
        <v>0</v>
      </c>
      <c r="G216" s="71">
        <f>IF(OR(D216="",D216=0),F216,D216*F216)</f>
        <v>0</v>
      </c>
    </row>
    <row r="217" spans="1:18" x14ac:dyDescent="0.25">
      <c r="B217" s="63">
        <v>5</v>
      </c>
      <c r="C217" s="68" t="s">
        <v>125</v>
      </c>
      <c r="D217" s="69"/>
      <c r="E217" s="69" t="s">
        <v>121</v>
      </c>
      <c r="F217" s="70">
        <v>0</v>
      </c>
      <c r="G217" s="71">
        <f>IF(OR(D217="",D217=0),F217,D217*F217)</f>
        <v>0</v>
      </c>
    </row>
    <row r="218" spans="1:18" ht="48" customHeight="1" x14ac:dyDescent="0.25">
      <c r="B218" s="72" t="s">
        <v>126</v>
      </c>
      <c r="C218" s="73"/>
      <c r="D218" s="74"/>
      <c r="E218" s="74"/>
      <c r="F218" s="89">
        <v>0</v>
      </c>
      <c r="G218" s="71">
        <f>IFERROR(F218/(4*I209),0)</f>
        <v>0</v>
      </c>
    </row>
    <row r="219" spans="1:18" ht="36" customHeight="1" x14ac:dyDescent="0.25">
      <c r="B219" s="76" t="s">
        <v>127</v>
      </c>
      <c r="C219" s="77"/>
      <c r="D219" s="78"/>
      <c r="E219" s="78"/>
      <c r="F219" s="78"/>
      <c r="G219" s="79">
        <f>SUM(G213:G218)</f>
        <v>0</v>
      </c>
    </row>
    <row r="220" spans="1:18" ht="24" customHeight="1" x14ac:dyDescent="0.25">
      <c r="B220" s="56" t="s">
        <v>128</v>
      </c>
      <c r="C220" s="56" t="s">
        <v>129</v>
      </c>
      <c r="D220" s="56" t="s">
        <v>130</v>
      </c>
      <c r="E220" s="56" t="s">
        <v>131</v>
      </c>
      <c r="F220" s="56" t="s">
        <v>132</v>
      </c>
      <c r="G220" s="56" t="s">
        <v>133</v>
      </c>
      <c r="H220" s="56" t="s">
        <v>134</v>
      </c>
      <c r="I220" s="56" t="s">
        <v>135</v>
      </c>
      <c r="J220" s="56" t="s">
        <v>136</v>
      </c>
      <c r="K220" s="56" t="s">
        <v>137</v>
      </c>
      <c r="L220" s="56" t="s">
        <v>138</v>
      </c>
      <c r="M220" s="56" t="s">
        <v>139</v>
      </c>
      <c r="N220" s="56" t="s">
        <v>140</v>
      </c>
      <c r="O220" s="56" t="s">
        <v>141</v>
      </c>
      <c r="Q220" s="80" t="s">
        <v>142</v>
      </c>
      <c r="R220" s="80" t="s">
        <v>141</v>
      </c>
    </row>
    <row r="221" spans="1:18" x14ac:dyDescent="0.25">
      <c r="B221" s="81">
        <f>G219</f>
        <v>0</v>
      </c>
      <c r="C221" s="81">
        <f>B221*(1+J209)</f>
        <v>0</v>
      </c>
      <c r="D221" s="81">
        <f>C221*B209</f>
        <v>0</v>
      </c>
      <c r="E221" s="81">
        <f>C221+D221</f>
        <v>0</v>
      </c>
      <c r="F221" s="81">
        <f>IFERROR(VLOOKUP(E211,Utilaje!$B$4:$J$37,4,FALSE())*B211/3600*VLOOKUP(E211,Utilaje!$B$4:$J$37,9,FALSE())*CHOOSE(C211,1,1.3,1.6),0)+IFERROR(VLOOKUP(F211,Utilaje!$B$4:$J$37,4,FALSE())*B211/3600*VLOOKUP(F211,Utilaje!$B$4:$J$37,9,FALSE())*CHOOSE(C211,1,1.3,1.6),0)+IFERROR(VLOOKUP(G211,Utilaje!$B$4:$J$37,4,FALSE())*B211/3600*VLOOKUP(G211,Utilaje!$B$4:$J$37,9,FALSE())*CHOOSE(C211,1,1.3,1.6),0)+IFERROR(VLOOKUP(H211,Utilaje!$B$4:$J$37,4,FALSE())*B211/3600*VLOOKUP(H211,Utilaje!$B$4:$J$37,9,FALSE())*CHOOSE(C211,1,1.3,1.6),0)+IFERROR(VLOOKUP(I211,Utilaje!$B$4:$J$37,4,FALSE())*B211/3600*VLOOKUP(I211,Utilaje!$B$4:$J$37,9,FALSE())*CHOOSE(C211,1,1.3,1.6),0)</f>
        <v>4.5833333333333334E-3</v>
      </c>
      <c r="G221" s="81">
        <f>IFERROR((VLOOKUP(E211,Utilaje!$B$4:$J$37,9,FALSE())+D211*60/I209)*(VLOOKUP(E211,Utilaje!$B$4:$J$37,6,FALSE())*F209+VLOOKUP(E211,Utilaje!$B$4:$J$37,7,FALSE())*G209+VLOOKUP(E211,Utilaje!$B$4:$J$37,8,FALSE())*H209)/3600*CHOOSE(C211,1,1.3,1.6),0)+IFERROR((VLOOKUP(F211,Utilaje!$B$4:$J$37,9,FALSE())+D211*60/I209)*(VLOOKUP(F211,Utilaje!$B$4:$J$37,6,FALSE())*F209+VLOOKUP(F211,Utilaje!$B$4:$J$37,7,FALSE())*G209+VLOOKUP(F211,Utilaje!$B$4:$J$37,8,FALSE())*H209)/3600*CHOOSE(C211,1,1.3,1.6),0)+IFERROR((VLOOKUP(G211,Utilaje!$B$4:$J$37,9,FALSE())+D211*60/I209)*(VLOOKUP(G211,Utilaje!$B$4:$J$37,6,FALSE())*F209+VLOOKUP(G211,Utilaje!$B$4:$J$37,7,FALSE())*G209+VLOOKUP(G211,Utilaje!$B$4:$J$37,8,FALSE())*H209)/3600*CHOOSE(C211,1,1.3,1.6),0)+IFERROR((VLOOKUP(H211,Utilaje!$B$4:$J$37,9,FALSE())+D211*60/I209)*(VLOOKUP(H211,Utilaje!$B$4:$J$37,6,FALSE())*F209+VLOOKUP(H211,Utilaje!$B$4:$J$37,7,FALSE())*G209+VLOOKUP(H211,Utilaje!$B$4:$J$37,8,FALSE())*H209)/3600*CHOOSE(C211,1,1.3,1.6),0)+IFERROR((VLOOKUP(I211,Utilaje!$B$4:$J$37,9,FALSE())+D211*60/I209)*(VLOOKUP(I211,Utilaje!$B$4:$J$37,6,FALSE())*F209+VLOOKUP(I211,Utilaje!$B$4:$J$37,7,FALSE())*G209+VLOOKUP(I211,Utilaje!$B$4:$J$37,8,FALSE())*H209)/3600*CHOOSE(C211,1,1.3,1.6),0)</f>
        <v>5.8799999999999998E-3</v>
      </c>
      <c r="H221" s="81">
        <f>G221*C209</f>
        <v>1.47E-4</v>
      </c>
      <c r="I221" s="81">
        <f>IFERROR(K209/I209,0)</f>
        <v>0</v>
      </c>
      <c r="J221" s="81">
        <f>E221+F221+G221+H221+I221</f>
        <v>1.0610333333333333E-2</v>
      </c>
      <c r="K221" s="81">
        <f>J221*D209</f>
        <v>2.6525833333333332E-3</v>
      </c>
      <c r="L221" s="81">
        <f>J221+K221</f>
        <v>1.3262916666666666E-2</v>
      </c>
      <c r="M221" s="81">
        <f>L221*E209</f>
        <v>2.6525833333333332E-3</v>
      </c>
      <c r="N221" s="83">
        <f>L221+M221</f>
        <v>1.5915499999999999E-2</v>
      </c>
      <c r="O221" s="84">
        <f>N221*1000</f>
        <v>15.9155</v>
      </c>
      <c r="Q221" s="83">
        <f>ProgramCalcul!AL16</f>
        <v>0</v>
      </c>
      <c r="R221" s="84">
        <f>Q221*1000</f>
        <v>0</v>
      </c>
    </row>
    <row r="222" spans="1:18" s="50" customFormat="1" ht="15.75" customHeight="1" x14ac:dyDescent="0.25"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7"/>
    </row>
    <row r="223" spans="1:18" ht="15.75" customHeight="1" x14ac:dyDescent="0.25">
      <c r="A223" s="52" t="s">
        <v>171</v>
      </c>
      <c r="C223" s="53" t="s">
        <v>91</v>
      </c>
      <c r="D223" s="54" t="s">
        <v>172</v>
      </c>
      <c r="E223" s="53" t="s">
        <v>93</v>
      </c>
      <c r="F223" s="55" t="s">
        <v>173</v>
      </c>
    </row>
    <row r="224" spans="1:18" ht="24" customHeight="1" x14ac:dyDescent="0.25">
      <c r="B224" s="56" t="s">
        <v>95</v>
      </c>
      <c r="C224" s="56" t="s">
        <v>96</v>
      </c>
      <c r="D224" s="56" t="s">
        <v>97</v>
      </c>
      <c r="E224" s="56" t="s">
        <v>98</v>
      </c>
      <c r="F224" s="56" t="s">
        <v>99</v>
      </c>
      <c r="G224" s="56" t="s">
        <v>100</v>
      </c>
      <c r="H224" s="56" t="s">
        <v>101</v>
      </c>
      <c r="I224" s="56" t="s">
        <v>102</v>
      </c>
      <c r="J224" s="56" t="s">
        <v>103</v>
      </c>
      <c r="K224" s="56" t="s">
        <v>104</v>
      </c>
    </row>
    <row r="225" spans="1:18" x14ac:dyDescent="0.25">
      <c r="B225" s="57">
        <v>0</v>
      </c>
      <c r="C225" s="57">
        <v>2.5000000000000001E-2</v>
      </c>
      <c r="D225" s="57">
        <v>0.25</v>
      </c>
      <c r="E225" s="57">
        <v>0.2</v>
      </c>
      <c r="F225" s="58">
        <v>7</v>
      </c>
      <c r="G225" s="58">
        <v>9</v>
      </c>
      <c r="H225" s="58">
        <v>12</v>
      </c>
      <c r="I225" s="59">
        <v>100000</v>
      </c>
      <c r="J225" s="57">
        <v>0.03</v>
      </c>
      <c r="K225" s="58">
        <v>0</v>
      </c>
    </row>
    <row r="226" spans="1:18" ht="24" customHeight="1" x14ac:dyDescent="0.25">
      <c r="B226" s="56" t="s">
        <v>105</v>
      </c>
      <c r="C226" s="56" t="s">
        <v>106</v>
      </c>
      <c r="D226" s="56" t="s">
        <v>107</v>
      </c>
      <c r="E226" s="56" t="s">
        <v>108</v>
      </c>
      <c r="F226" s="56" t="s">
        <v>109</v>
      </c>
      <c r="G226" s="56" t="s">
        <v>110</v>
      </c>
      <c r="H226" s="56" t="s">
        <v>111</v>
      </c>
      <c r="I226" s="56" t="s">
        <v>112</v>
      </c>
    </row>
    <row r="227" spans="1:18" x14ac:dyDescent="0.25">
      <c r="B227" s="60">
        <v>0.5</v>
      </c>
      <c r="C227" s="61">
        <v>1</v>
      </c>
      <c r="D227" s="59">
        <v>40</v>
      </c>
      <c r="E227" s="62" t="s">
        <v>161</v>
      </c>
      <c r="F227" s="62" t="s">
        <v>114</v>
      </c>
      <c r="G227" s="62" t="s">
        <v>114</v>
      </c>
      <c r="H227" s="62" t="s">
        <v>114</v>
      </c>
      <c r="I227" s="62" t="s">
        <v>114</v>
      </c>
    </row>
    <row r="228" spans="1:18" x14ac:dyDescent="0.25">
      <c r="B228" s="56" t="s">
        <v>115</v>
      </c>
      <c r="C228" s="56" t="s">
        <v>116</v>
      </c>
      <c r="D228" s="56" t="s">
        <v>117</v>
      </c>
      <c r="E228" s="56" t="s">
        <v>118</v>
      </c>
      <c r="F228" s="56" t="s">
        <v>119</v>
      </c>
      <c r="G228" s="56" t="s">
        <v>120</v>
      </c>
    </row>
    <row r="229" spans="1:18" x14ac:dyDescent="0.25">
      <c r="B229" s="63">
        <v>1</v>
      </c>
      <c r="C229" s="64" t="str">
        <f>IF(ProgramCalcul!Y17=0,"Material 1",ProgramCalcul!Y17)</f>
        <v>Material 1</v>
      </c>
      <c r="D229" s="65"/>
      <c r="E229" s="65" t="s">
        <v>121</v>
      </c>
      <c r="F229" s="88">
        <f>ProgramCalcul!AH17</f>
        <v>0</v>
      </c>
      <c r="G229" s="67">
        <f>IF(OR(D229="",D229=0),F229,D229*F229)</f>
        <v>0</v>
      </c>
    </row>
    <row r="230" spans="1:18" x14ac:dyDescent="0.25">
      <c r="B230" s="63">
        <v>2</v>
      </c>
      <c r="C230" s="68" t="s">
        <v>122</v>
      </c>
      <c r="D230" s="69"/>
      <c r="E230" s="69" t="s">
        <v>121</v>
      </c>
      <c r="F230" s="70">
        <v>0</v>
      </c>
      <c r="G230" s="71">
        <f>IF(OR(D230="",D230=0),F230,D230*F230)</f>
        <v>0</v>
      </c>
    </row>
    <row r="231" spans="1:18" x14ac:dyDescent="0.25">
      <c r="B231" s="63">
        <v>3</v>
      </c>
      <c r="C231" s="68" t="s">
        <v>123</v>
      </c>
      <c r="D231" s="69"/>
      <c r="E231" s="69" t="s">
        <v>121</v>
      </c>
      <c r="F231" s="70">
        <v>0</v>
      </c>
      <c r="G231" s="71">
        <f>IF(OR(D231="",D231=0),F231,D231*F231)</f>
        <v>0</v>
      </c>
    </row>
    <row r="232" spans="1:18" x14ac:dyDescent="0.25">
      <c r="B232" s="63">
        <v>4</v>
      </c>
      <c r="C232" s="68" t="s">
        <v>124</v>
      </c>
      <c r="D232" s="69"/>
      <c r="E232" s="69" t="s">
        <v>121</v>
      </c>
      <c r="F232" s="70">
        <v>0</v>
      </c>
      <c r="G232" s="71">
        <f>IF(OR(D232="",D232=0),F232,D232*F232)</f>
        <v>0</v>
      </c>
    </row>
    <row r="233" spans="1:18" x14ac:dyDescent="0.25">
      <c r="B233" s="63">
        <v>5</v>
      </c>
      <c r="C233" s="68" t="s">
        <v>125</v>
      </c>
      <c r="D233" s="69"/>
      <c r="E233" s="69" t="s">
        <v>121</v>
      </c>
      <c r="F233" s="70">
        <v>0</v>
      </c>
      <c r="G233" s="71">
        <f>IF(OR(D233="",D233=0),F233,D233*F233)</f>
        <v>0</v>
      </c>
    </row>
    <row r="234" spans="1:18" ht="48" customHeight="1" x14ac:dyDescent="0.25">
      <c r="B234" s="72" t="s">
        <v>126</v>
      </c>
      <c r="C234" s="73"/>
      <c r="D234" s="74"/>
      <c r="E234" s="74"/>
      <c r="F234" s="89">
        <v>0</v>
      </c>
      <c r="G234" s="71">
        <f>IFERROR(F234/(4*I225),0)</f>
        <v>0</v>
      </c>
    </row>
    <row r="235" spans="1:18" ht="36" customHeight="1" x14ac:dyDescent="0.25">
      <c r="B235" s="76" t="s">
        <v>127</v>
      </c>
      <c r="C235" s="77"/>
      <c r="D235" s="78"/>
      <c r="E235" s="78"/>
      <c r="F235" s="78"/>
      <c r="G235" s="79">
        <f>SUM(G229:G234)</f>
        <v>0</v>
      </c>
    </row>
    <row r="236" spans="1:18" ht="24" customHeight="1" x14ac:dyDescent="0.25">
      <c r="B236" s="56" t="s">
        <v>128</v>
      </c>
      <c r="C236" s="56" t="s">
        <v>129</v>
      </c>
      <c r="D236" s="56" t="s">
        <v>130</v>
      </c>
      <c r="E236" s="56" t="s">
        <v>131</v>
      </c>
      <c r="F236" s="56" t="s">
        <v>132</v>
      </c>
      <c r="G236" s="56" t="s">
        <v>133</v>
      </c>
      <c r="H236" s="56" t="s">
        <v>134</v>
      </c>
      <c r="I236" s="56" t="s">
        <v>135</v>
      </c>
      <c r="J236" s="56" t="s">
        <v>136</v>
      </c>
      <c r="K236" s="56" t="s">
        <v>137</v>
      </c>
      <c r="L236" s="56" t="s">
        <v>138</v>
      </c>
      <c r="M236" s="56" t="s">
        <v>139</v>
      </c>
      <c r="N236" s="56" t="s">
        <v>140</v>
      </c>
      <c r="O236" s="56" t="s">
        <v>141</v>
      </c>
      <c r="Q236" s="80" t="s">
        <v>142</v>
      </c>
      <c r="R236" s="80" t="s">
        <v>141</v>
      </c>
    </row>
    <row r="237" spans="1:18" x14ac:dyDescent="0.25">
      <c r="B237" s="81">
        <f>G235</f>
        <v>0</v>
      </c>
      <c r="C237" s="81">
        <f>B237*(1+J225)</f>
        <v>0</v>
      </c>
      <c r="D237" s="81">
        <f>C237*B225</f>
        <v>0</v>
      </c>
      <c r="E237" s="81">
        <f>C237+D237</f>
        <v>0</v>
      </c>
      <c r="F237" s="81">
        <f>IFERROR(VLOOKUP(E227,Utilaje!$B$4:$J$37,4,FALSE())*B227/3600*VLOOKUP(E227,Utilaje!$B$4:$J$37,9,FALSE())*CHOOSE(C227,1,1.3,1.6),0)+IFERROR(VLOOKUP(F227,Utilaje!$B$4:$J$37,4,FALSE())*B227/3600*VLOOKUP(F227,Utilaje!$B$4:$J$37,9,FALSE())*CHOOSE(C227,1,1.3,1.6),0)+IFERROR(VLOOKUP(G227,Utilaje!$B$4:$J$37,4,FALSE())*B227/3600*VLOOKUP(G227,Utilaje!$B$4:$J$37,9,FALSE())*CHOOSE(C227,1,1.3,1.6),0)+IFERROR(VLOOKUP(H227,Utilaje!$B$4:$J$37,4,FALSE())*B227/3600*VLOOKUP(H227,Utilaje!$B$4:$J$37,9,FALSE())*CHOOSE(C227,1,1.3,1.6),0)+IFERROR(VLOOKUP(I227,Utilaje!$B$4:$J$37,4,FALSE())*B227/3600*VLOOKUP(I227,Utilaje!$B$4:$J$37,9,FALSE())*CHOOSE(C227,1,1.3,1.6),0)</f>
        <v>4.5833333333333334E-3</v>
      </c>
      <c r="G237" s="81">
        <f>IFERROR((VLOOKUP(E227,Utilaje!$B$4:$J$37,9,FALSE())+D227*60/I225)*(VLOOKUP(E227,Utilaje!$B$4:$J$37,6,FALSE())*F225+VLOOKUP(E227,Utilaje!$B$4:$J$37,7,FALSE())*G225+VLOOKUP(E227,Utilaje!$B$4:$J$37,8,FALSE())*H225)/3600*CHOOSE(C227,1,1.3,1.6),0)+IFERROR((VLOOKUP(F227,Utilaje!$B$4:$J$37,9,FALSE())+D227*60/I225)*(VLOOKUP(F227,Utilaje!$B$4:$J$37,6,FALSE())*F225+VLOOKUP(F227,Utilaje!$B$4:$J$37,7,FALSE())*G225+VLOOKUP(F227,Utilaje!$B$4:$J$37,8,FALSE())*H225)/3600*CHOOSE(C227,1,1.3,1.6),0)+IFERROR((VLOOKUP(G227,Utilaje!$B$4:$J$37,9,FALSE())+D227*60/I225)*(VLOOKUP(G227,Utilaje!$B$4:$J$37,6,FALSE())*F225+VLOOKUP(G227,Utilaje!$B$4:$J$37,7,FALSE())*G225+VLOOKUP(G227,Utilaje!$B$4:$J$37,8,FALSE())*H225)/3600*CHOOSE(C227,1,1.3,1.6),0)+IFERROR((VLOOKUP(H227,Utilaje!$B$4:$J$37,9,FALSE())+D227*60/I225)*(VLOOKUP(H227,Utilaje!$B$4:$J$37,6,FALSE())*F225+VLOOKUP(H227,Utilaje!$B$4:$J$37,7,FALSE())*G225+VLOOKUP(H227,Utilaje!$B$4:$J$37,8,FALSE())*H225)/3600*CHOOSE(C227,1,1.3,1.6),0)+IFERROR((VLOOKUP(I227,Utilaje!$B$4:$J$37,9,FALSE())+D227*60/I225)*(VLOOKUP(I227,Utilaje!$B$4:$J$37,6,FALSE())*F225+VLOOKUP(I227,Utilaje!$B$4:$J$37,7,FALSE())*G225+VLOOKUP(I227,Utilaje!$B$4:$J$37,8,FALSE())*H225)/3600*CHOOSE(C227,1,1.3,1.6),0)</f>
        <v>5.8799999999999998E-3</v>
      </c>
      <c r="H237" s="81">
        <f>G237*C225</f>
        <v>1.47E-4</v>
      </c>
      <c r="I237" s="81">
        <f>IFERROR(K225/I225,0)</f>
        <v>0</v>
      </c>
      <c r="J237" s="81">
        <f>E237+F237+G237+H237+I237</f>
        <v>1.0610333333333333E-2</v>
      </c>
      <c r="K237" s="81">
        <f>J237*D225</f>
        <v>2.6525833333333332E-3</v>
      </c>
      <c r="L237" s="81">
        <f>J237+K237</f>
        <v>1.3262916666666666E-2</v>
      </c>
      <c r="M237" s="81">
        <f>L237*E225</f>
        <v>2.6525833333333332E-3</v>
      </c>
      <c r="N237" s="83">
        <f>L237+M237</f>
        <v>1.5915499999999999E-2</v>
      </c>
      <c r="O237" s="84">
        <f>N237*1000</f>
        <v>15.9155</v>
      </c>
      <c r="Q237" s="83">
        <f>ProgramCalcul!AL17</f>
        <v>0</v>
      </c>
      <c r="R237" s="84">
        <f>Q237*1000</f>
        <v>0</v>
      </c>
    </row>
    <row r="238" spans="1:18" s="50" customFormat="1" ht="15.75" customHeight="1" x14ac:dyDescent="0.25"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7"/>
    </row>
    <row r="239" spans="1:18" ht="15.75" customHeight="1" x14ac:dyDescent="0.25">
      <c r="A239" s="52" t="s">
        <v>174</v>
      </c>
      <c r="C239" s="53" t="s">
        <v>91</v>
      </c>
      <c r="D239" s="54" t="s">
        <v>175</v>
      </c>
      <c r="E239" s="53" t="s">
        <v>93</v>
      </c>
      <c r="F239" s="55" t="s">
        <v>176</v>
      </c>
    </row>
    <row r="240" spans="1:18" ht="24" customHeight="1" x14ac:dyDescent="0.25">
      <c r="B240" s="56" t="s">
        <v>95</v>
      </c>
      <c r="C240" s="56" t="s">
        <v>96</v>
      </c>
      <c r="D240" s="56" t="s">
        <v>97</v>
      </c>
      <c r="E240" s="56" t="s">
        <v>98</v>
      </c>
      <c r="F240" s="56" t="s">
        <v>99</v>
      </c>
      <c r="G240" s="56" t="s">
        <v>100</v>
      </c>
      <c r="H240" s="56" t="s">
        <v>101</v>
      </c>
      <c r="I240" s="56" t="s">
        <v>102</v>
      </c>
      <c r="J240" s="56" t="s">
        <v>103</v>
      </c>
      <c r="K240" s="56" t="s">
        <v>104</v>
      </c>
    </row>
    <row r="241" spans="1:18" x14ac:dyDescent="0.25">
      <c r="B241" s="57">
        <v>0</v>
      </c>
      <c r="C241" s="57">
        <v>2.5000000000000001E-2</v>
      </c>
      <c r="D241" s="57">
        <v>0.25</v>
      </c>
      <c r="E241" s="57">
        <v>0.2</v>
      </c>
      <c r="F241" s="58">
        <v>7</v>
      </c>
      <c r="G241" s="58">
        <v>9</v>
      </c>
      <c r="H241" s="58">
        <v>12</v>
      </c>
      <c r="I241" s="59">
        <v>100000</v>
      </c>
      <c r="J241" s="57">
        <v>0.03</v>
      </c>
      <c r="K241" s="58">
        <v>0</v>
      </c>
    </row>
    <row r="242" spans="1:18" ht="24" customHeight="1" x14ac:dyDescent="0.25">
      <c r="B242" s="56" t="s">
        <v>105</v>
      </c>
      <c r="C242" s="56" t="s">
        <v>106</v>
      </c>
      <c r="D242" s="56" t="s">
        <v>107</v>
      </c>
      <c r="E242" s="56" t="s">
        <v>108</v>
      </c>
      <c r="F242" s="56" t="s">
        <v>109</v>
      </c>
      <c r="G242" s="56" t="s">
        <v>110</v>
      </c>
      <c r="H242" s="56" t="s">
        <v>111</v>
      </c>
      <c r="I242" s="56" t="s">
        <v>112</v>
      </c>
    </row>
    <row r="243" spans="1:18" x14ac:dyDescent="0.25">
      <c r="B243" s="60">
        <v>0.5</v>
      </c>
      <c r="C243" s="61">
        <v>1</v>
      </c>
      <c r="D243" s="59">
        <v>40</v>
      </c>
      <c r="E243" s="62" t="s">
        <v>113</v>
      </c>
      <c r="F243" s="62" t="s">
        <v>114</v>
      </c>
      <c r="G243" s="62" t="s">
        <v>114</v>
      </c>
      <c r="H243" s="62" t="s">
        <v>114</v>
      </c>
      <c r="I243" s="62" t="s">
        <v>114</v>
      </c>
    </row>
    <row r="244" spans="1:18" x14ac:dyDescent="0.25">
      <c r="B244" s="56" t="s">
        <v>115</v>
      </c>
      <c r="C244" s="56" t="s">
        <v>116</v>
      </c>
      <c r="D244" s="56" t="s">
        <v>117</v>
      </c>
      <c r="E244" s="56" t="s">
        <v>118</v>
      </c>
      <c r="F244" s="56" t="s">
        <v>119</v>
      </c>
      <c r="G244" s="56" t="s">
        <v>120</v>
      </c>
    </row>
    <row r="245" spans="1:18" x14ac:dyDescent="0.25">
      <c r="B245" s="63">
        <v>1</v>
      </c>
      <c r="C245" s="64" t="str">
        <f>IF(ProgramCalcul!Y18=0,"Material 1",ProgramCalcul!Y18)</f>
        <v>Material 1</v>
      </c>
      <c r="D245" s="65"/>
      <c r="E245" s="65" t="s">
        <v>121</v>
      </c>
      <c r="F245" s="88">
        <f>ProgramCalcul!AH18</f>
        <v>0</v>
      </c>
      <c r="G245" s="67">
        <f>IF(OR(D245="",D245=0),F245,D245*F245)</f>
        <v>0</v>
      </c>
    </row>
    <row r="246" spans="1:18" x14ac:dyDescent="0.25">
      <c r="B246" s="63">
        <v>2</v>
      </c>
      <c r="C246" s="68" t="s">
        <v>122</v>
      </c>
      <c r="D246" s="69"/>
      <c r="E246" s="69" t="s">
        <v>121</v>
      </c>
      <c r="F246" s="70">
        <v>0</v>
      </c>
      <c r="G246" s="71">
        <f>IF(OR(D246="",D246=0),F246,D246*F246)</f>
        <v>0</v>
      </c>
    </row>
    <row r="247" spans="1:18" x14ac:dyDescent="0.25">
      <c r="B247" s="63">
        <v>3</v>
      </c>
      <c r="C247" s="68" t="s">
        <v>123</v>
      </c>
      <c r="D247" s="69"/>
      <c r="E247" s="69" t="s">
        <v>121</v>
      </c>
      <c r="F247" s="70">
        <v>0</v>
      </c>
      <c r="G247" s="71">
        <f>IF(OR(D247="",D247=0),F247,D247*F247)</f>
        <v>0</v>
      </c>
    </row>
    <row r="248" spans="1:18" x14ac:dyDescent="0.25">
      <c r="B248" s="63">
        <v>4</v>
      </c>
      <c r="C248" s="68" t="s">
        <v>124</v>
      </c>
      <c r="D248" s="69"/>
      <c r="E248" s="69" t="s">
        <v>121</v>
      </c>
      <c r="F248" s="70">
        <v>0</v>
      </c>
      <c r="G248" s="71">
        <f>IF(OR(D248="",D248=0),F248,D248*F248)</f>
        <v>0</v>
      </c>
    </row>
    <row r="249" spans="1:18" x14ac:dyDescent="0.25">
      <c r="B249" s="63">
        <v>5</v>
      </c>
      <c r="C249" s="68" t="s">
        <v>125</v>
      </c>
      <c r="D249" s="69"/>
      <c r="E249" s="69" t="s">
        <v>121</v>
      </c>
      <c r="F249" s="70">
        <v>0</v>
      </c>
      <c r="G249" s="71">
        <f>IF(OR(D249="",D249=0),F249,D249*F249)</f>
        <v>0</v>
      </c>
    </row>
    <row r="250" spans="1:18" ht="48" customHeight="1" x14ac:dyDescent="0.25">
      <c r="B250" s="72" t="s">
        <v>126</v>
      </c>
      <c r="C250" s="73"/>
      <c r="D250" s="74"/>
      <c r="E250" s="74"/>
      <c r="F250" s="89">
        <v>0</v>
      </c>
      <c r="G250" s="71">
        <f>IFERROR(F250/(4*I241),0)</f>
        <v>0</v>
      </c>
    </row>
    <row r="251" spans="1:18" ht="36" customHeight="1" x14ac:dyDescent="0.25">
      <c r="B251" s="76" t="s">
        <v>127</v>
      </c>
      <c r="C251" s="77"/>
      <c r="D251" s="78"/>
      <c r="E251" s="78"/>
      <c r="F251" s="78"/>
      <c r="G251" s="79">
        <f>SUM(G245:G250)</f>
        <v>0</v>
      </c>
    </row>
    <row r="252" spans="1:18" ht="24" customHeight="1" x14ac:dyDescent="0.25">
      <c r="B252" s="56" t="s">
        <v>128</v>
      </c>
      <c r="C252" s="56" t="s">
        <v>129</v>
      </c>
      <c r="D252" s="56" t="s">
        <v>130</v>
      </c>
      <c r="E252" s="56" t="s">
        <v>131</v>
      </c>
      <c r="F252" s="56" t="s">
        <v>132</v>
      </c>
      <c r="G252" s="56" t="s">
        <v>133</v>
      </c>
      <c r="H252" s="56" t="s">
        <v>134</v>
      </c>
      <c r="I252" s="56" t="s">
        <v>135</v>
      </c>
      <c r="J252" s="56" t="s">
        <v>136</v>
      </c>
      <c r="K252" s="56" t="s">
        <v>137</v>
      </c>
      <c r="L252" s="56" t="s">
        <v>138</v>
      </c>
      <c r="M252" s="56" t="s">
        <v>139</v>
      </c>
      <c r="N252" s="56" t="s">
        <v>140</v>
      </c>
      <c r="O252" s="56" t="s">
        <v>141</v>
      </c>
      <c r="Q252" s="80" t="s">
        <v>142</v>
      </c>
      <c r="R252" s="80" t="s">
        <v>141</v>
      </c>
    </row>
    <row r="253" spans="1:18" x14ac:dyDescent="0.25">
      <c r="B253" s="81">
        <f>G251</f>
        <v>0</v>
      </c>
      <c r="C253" s="81">
        <f>B253*(1+J241)</f>
        <v>0</v>
      </c>
      <c r="D253" s="81">
        <f>C253*B241</f>
        <v>0</v>
      </c>
      <c r="E253" s="81">
        <f>C253+D253</f>
        <v>0</v>
      </c>
      <c r="F253" s="81">
        <f>IFERROR(VLOOKUP(E243,Utilaje!$B$4:$J$37,4,FALSE())*B243/3600*VLOOKUP(E243,Utilaje!$B$4:$J$37,9,FALSE())*CHOOSE(C243,1,1.3,1.6),0)+IFERROR(VLOOKUP(F243,Utilaje!$B$4:$J$37,4,FALSE())*B243/3600*VLOOKUP(F243,Utilaje!$B$4:$J$37,9,FALSE())*CHOOSE(C243,1,1.3,1.6),0)+IFERROR(VLOOKUP(G243,Utilaje!$B$4:$J$37,4,FALSE())*B243/3600*VLOOKUP(G243,Utilaje!$B$4:$J$37,9,FALSE())*CHOOSE(C243,1,1.3,1.6),0)+IFERROR(VLOOKUP(H243,Utilaje!$B$4:$J$37,4,FALSE())*B243/3600*VLOOKUP(H243,Utilaje!$B$4:$J$37,9,FALSE())*CHOOSE(C243,1,1.3,1.6),0)+IFERROR(VLOOKUP(I243,Utilaje!$B$4:$J$37,4,FALSE())*B243/3600*VLOOKUP(I243,Utilaje!$B$4:$J$37,9,FALSE())*CHOOSE(C243,1,1.3,1.6),0)</f>
        <v>8.3333333333333328E-4</v>
      </c>
      <c r="G253" s="81">
        <f>IFERROR((VLOOKUP(E243,Utilaje!$B$4:$J$37,9,FALSE())+D243*60/I241)*(VLOOKUP(E243,Utilaje!$B$4:$J$37,6,FALSE())*F241+VLOOKUP(E243,Utilaje!$B$4:$J$37,7,FALSE())*G241+VLOOKUP(E243,Utilaje!$B$4:$J$37,8,FALSE())*H241)/3600*CHOOSE(C243,1,1.3,1.6),0)+IFERROR((VLOOKUP(F243,Utilaje!$B$4:$J$37,9,FALSE())+D243*60/I241)*(VLOOKUP(F243,Utilaje!$B$4:$J$37,6,FALSE())*F241+VLOOKUP(F243,Utilaje!$B$4:$J$37,7,FALSE())*G241+VLOOKUP(F243,Utilaje!$B$4:$J$37,8,FALSE())*H241)/3600*CHOOSE(C243,1,1.3,1.6),0)+IFERROR((VLOOKUP(G243,Utilaje!$B$4:$J$37,9,FALSE())+D243*60/I241)*(VLOOKUP(G243,Utilaje!$B$4:$J$37,6,FALSE())*F241+VLOOKUP(G243,Utilaje!$B$4:$J$37,7,FALSE())*G241+VLOOKUP(G243,Utilaje!$B$4:$J$37,8,FALSE())*H241)/3600*CHOOSE(C243,1,1.3,1.6),0)+IFERROR((VLOOKUP(H243,Utilaje!$B$4:$J$37,9,FALSE())+D243*60/I241)*(VLOOKUP(H243,Utilaje!$B$4:$J$37,6,FALSE())*F241+VLOOKUP(H243,Utilaje!$B$4:$J$37,7,FALSE())*G241+VLOOKUP(H243,Utilaje!$B$4:$J$37,8,FALSE())*H241)/3600*CHOOSE(C243,1,1.3,1.6),0)+IFERROR((VLOOKUP(I243,Utilaje!$B$4:$J$37,9,FALSE())+D243*60/I241)*(VLOOKUP(I243,Utilaje!$B$4:$J$37,6,FALSE())*F241+VLOOKUP(I243,Utilaje!$B$4:$J$37,7,FALSE())*G241+VLOOKUP(I243,Utilaje!$B$4:$J$37,8,FALSE())*H241)/3600*CHOOSE(C243,1,1.3,1.6),0)</f>
        <v>5.8799999999999998E-3</v>
      </c>
      <c r="H253" s="81">
        <f>G253*C241</f>
        <v>1.47E-4</v>
      </c>
      <c r="I253" s="81">
        <f>IFERROR(K241/I241,0)</f>
        <v>0</v>
      </c>
      <c r="J253" s="81">
        <f>E253+F253+G253+H253+I253</f>
        <v>6.8603333333333329E-3</v>
      </c>
      <c r="K253" s="81">
        <f>J253*D241</f>
        <v>1.7150833333333332E-3</v>
      </c>
      <c r="L253" s="81">
        <f>J253+K253</f>
        <v>8.5754166666666652E-3</v>
      </c>
      <c r="M253" s="81">
        <f>L253*E241</f>
        <v>1.7150833333333332E-3</v>
      </c>
      <c r="N253" s="83">
        <f>L253+M253</f>
        <v>1.0290499999999998E-2</v>
      </c>
      <c r="O253" s="84">
        <f>N253*1000</f>
        <v>10.290499999999998</v>
      </c>
      <c r="Q253" s="83">
        <f>ProgramCalcul!AL18</f>
        <v>0</v>
      </c>
      <c r="R253" s="84">
        <f>Q253*1000</f>
        <v>0</v>
      </c>
    </row>
    <row r="254" spans="1:18" s="50" customFormat="1" ht="15.75" customHeight="1" x14ac:dyDescent="0.25"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7"/>
    </row>
    <row r="255" spans="1:18" ht="15.75" customHeight="1" x14ac:dyDescent="0.25">
      <c r="A255" s="52" t="s">
        <v>177</v>
      </c>
      <c r="C255" s="53" t="s">
        <v>91</v>
      </c>
      <c r="D255" s="54" t="s">
        <v>178</v>
      </c>
      <c r="E255" s="53" t="s">
        <v>93</v>
      </c>
      <c r="F255" s="55" t="s">
        <v>179</v>
      </c>
    </row>
    <row r="256" spans="1:18" ht="24" customHeight="1" x14ac:dyDescent="0.25">
      <c r="B256" s="56" t="s">
        <v>95</v>
      </c>
      <c r="C256" s="56" t="s">
        <v>96</v>
      </c>
      <c r="D256" s="56" t="s">
        <v>97</v>
      </c>
      <c r="E256" s="56" t="s">
        <v>98</v>
      </c>
      <c r="F256" s="56" t="s">
        <v>99</v>
      </c>
      <c r="G256" s="56" t="s">
        <v>100</v>
      </c>
      <c r="H256" s="56" t="s">
        <v>101</v>
      </c>
      <c r="I256" s="56" t="s">
        <v>102</v>
      </c>
      <c r="J256" s="56" t="s">
        <v>103</v>
      </c>
      <c r="K256" s="56" t="s">
        <v>104</v>
      </c>
    </row>
    <row r="257" spans="1:18" x14ac:dyDescent="0.25">
      <c r="B257" s="57">
        <v>0</v>
      </c>
      <c r="C257" s="57">
        <v>2.5000000000000001E-2</v>
      </c>
      <c r="D257" s="57">
        <v>0.25</v>
      </c>
      <c r="E257" s="57">
        <v>0.2</v>
      </c>
      <c r="F257" s="58">
        <v>7</v>
      </c>
      <c r="G257" s="58">
        <v>9</v>
      </c>
      <c r="H257" s="58">
        <v>12</v>
      </c>
      <c r="I257" s="59">
        <v>100000</v>
      </c>
      <c r="J257" s="57">
        <v>0.03</v>
      </c>
      <c r="K257" s="58">
        <v>0</v>
      </c>
    </row>
    <row r="258" spans="1:18" ht="24" customHeight="1" x14ac:dyDescent="0.25">
      <c r="B258" s="56" t="s">
        <v>105</v>
      </c>
      <c r="C258" s="56" t="s">
        <v>106</v>
      </c>
      <c r="D258" s="56" t="s">
        <v>107</v>
      </c>
      <c r="E258" s="56" t="s">
        <v>108</v>
      </c>
      <c r="F258" s="56" t="s">
        <v>109</v>
      </c>
      <c r="G258" s="56" t="s">
        <v>110</v>
      </c>
      <c r="H258" s="56" t="s">
        <v>111</v>
      </c>
      <c r="I258" s="56" t="s">
        <v>112</v>
      </c>
    </row>
    <row r="259" spans="1:18" x14ac:dyDescent="0.25">
      <c r="B259" s="60">
        <v>0.5</v>
      </c>
      <c r="C259" s="61">
        <v>1</v>
      </c>
      <c r="D259" s="59">
        <v>40</v>
      </c>
      <c r="E259" s="62" t="s">
        <v>113</v>
      </c>
      <c r="F259" s="62" t="s">
        <v>114</v>
      </c>
      <c r="G259" s="62" t="s">
        <v>114</v>
      </c>
      <c r="H259" s="62" t="s">
        <v>114</v>
      </c>
      <c r="I259" s="62" t="s">
        <v>114</v>
      </c>
    </row>
    <row r="260" spans="1:18" x14ac:dyDescent="0.25">
      <c r="B260" s="56" t="s">
        <v>115</v>
      </c>
      <c r="C260" s="56" t="s">
        <v>116</v>
      </c>
      <c r="D260" s="56" t="s">
        <v>117</v>
      </c>
      <c r="E260" s="56" t="s">
        <v>118</v>
      </c>
      <c r="F260" s="56" t="s">
        <v>119</v>
      </c>
      <c r="G260" s="56" t="s">
        <v>120</v>
      </c>
    </row>
    <row r="261" spans="1:18" x14ac:dyDescent="0.25">
      <c r="B261" s="63">
        <v>1</v>
      </c>
      <c r="C261" s="64" t="str">
        <f>IF(ProgramCalcul!Y26=0,"Material 1",ProgramCalcul!Y26)</f>
        <v>Material 1</v>
      </c>
      <c r="D261" s="65"/>
      <c r="E261" s="65" t="s">
        <v>121</v>
      </c>
      <c r="F261" s="88">
        <f>ProgramCalcul!AH26</f>
        <v>0</v>
      </c>
      <c r="G261" s="67">
        <f>IF(OR(D261="",D261=0),F261,D261*F261)</f>
        <v>0</v>
      </c>
    </row>
    <row r="262" spans="1:18" x14ac:dyDescent="0.25">
      <c r="B262" s="63">
        <v>2</v>
      </c>
      <c r="C262" s="68" t="s">
        <v>122</v>
      </c>
      <c r="D262" s="69"/>
      <c r="E262" s="69" t="s">
        <v>121</v>
      </c>
      <c r="F262" s="70">
        <v>0</v>
      </c>
      <c r="G262" s="71">
        <f>IF(OR(D262="",D262=0),F262,D262*F262)</f>
        <v>0</v>
      </c>
    </row>
    <row r="263" spans="1:18" x14ac:dyDescent="0.25">
      <c r="B263" s="63">
        <v>3</v>
      </c>
      <c r="C263" s="68" t="s">
        <v>123</v>
      </c>
      <c r="D263" s="69"/>
      <c r="E263" s="69" t="s">
        <v>121</v>
      </c>
      <c r="F263" s="70">
        <v>0</v>
      </c>
      <c r="G263" s="71">
        <f>IF(OR(D263="",D263=0),F263,D263*F263)</f>
        <v>0</v>
      </c>
    </row>
    <row r="264" spans="1:18" x14ac:dyDescent="0.25">
      <c r="B264" s="63">
        <v>4</v>
      </c>
      <c r="C264" s="68" t="s">
        <v>124</v>
      </c>
      <c r="D264" s="69"/>
      <c r="E264" s="69" t="s">
        <v>121</v>
      </c>
      <c r="F264" s="70">
        <v>0</v>
      </c>
      <c r="G264" s="71">
        <f>IF(OR(D264="",D264=0),F264,D264*F264)</f>
        <v>0</v>
      </c>
    </row>
    <row r="265" spans="1:18" x14ac:dyDescent="0.25">
      <c r="B265" s="63">
        <v>5</v>
      </c>
      <c r="C265" s="68" t="s">
        <v>125</v>
      </c>
      <c r="D265" s="69"/>
      <c r="E265" s="69" t="s">
        <v>121</v>
      </c>
      <c r="F265" s="70">
        <v>0</v>
      </c>
      <c r="G265" s="71">
        <f>IF(OR(D265="",D265=0),F265,D265*F265)</f>
        <v>0</v>
      </c>
    </row>
    <row r="266" spans="1:18" ht="48" customHeight="1" x14ac:dyDescent="0.25">
      <c r="B266" s="72" t="s">
        <v>126</v>
      </c>
      <c r="C266" s="73"/>
      <c r="D266" s="74"/>
      <c r="E266" s="74"/>
      <c r="F266" s="89">
        <v>0</v>
      </c>
      <c r="G266" s="71">
        <f>IFERROR(F266/(4*I257),0)</f>
        <v>0</v>
      </c>
    </row>
    <row r="267" spans="1:18" ht="36" customHeight="1" x14ac:dyDescent="0.25">
      <c r="B267" s="76" t="s">
        <v>127</v>
      </c>
      <c r="C267" s="77"/>
      <c r="D267" s="78"/>
      <c r="E267" s="78"/>
      <c r="F267" s="78"/>
      <c r="G267" s="79">
        <f>SUM(G261:G266)</f>
        <v>0</v>
      </c>
    </row>
    <row r="268" spans="1:18" ht="24" customHeight="1" x14ac:dyDescent="0.25">
      <c r="B268" s="56" t="s">
        <v>128</v>
      </c>
      <c r="C268" s="56" t="s">
        <v>129</v>
      </c>
      <c r="D268" s="56" t="s">
        <v>130</v>
      </c>
      <c r="E268" s="56" t="s">
        <v>131</v>
      </c>
      <c r="F268" s="56" t="s">
        <v>132</v>
      </c>
      <c r="G268" s="56" t="s">
        <v>133</v>
      </c>
      <c r="H268" s="56" t="s">
        <v>134</v>
      </c>
      <c r="I268" s="56" t="s">
        <v>135</v>
      </c>
      <c r="J268" s="56" t="s">
        <v>136</v>
      </c>
      <c r="K268" s="56" t="s">
        <v>137</v>
      </c>
      <c r="L268" s="56" t="s">
        <v>138</v>
      </c>
      <c r="M268" s="56" t="s">
        <v>139</v>
      </c>
      <c r="N268" s="56" t="s">
        <v>140</v>
      </c>
      <c r="O268" s="56" t="s">
        <v>141</v>
      </c>
      <c r="Q268" s="80" t="s">
        <v>142</v>
      </c>
      <c r="R268" s="80" t="s">
        <v>141</v>
      </c>
    </row>
    <row r="269" spans="1:18" x14ac:dyDescent="0.25">
      <c r="B269" s="81">
        <f>G267</f>
        <v>0</v>
      </c>
      <c r="C269" s="81">
        <f>B269*(1+J257)</f>
        <v>0</v>
      </c>
      <c r="D269" s="81">
        <f>C269*B257</f>
        <v>0</v>
      </c>
      <c r="E269" s="81">
        <f>C269+D269</f>
        <v>0</v>
      </c>
      <c r="F269" s="81">
        <f>IFERROR(VLOOKUP(E259,Utilaje!$B$4:$J$37,4,FALSE())*B259/3600*VLOOKUP(E259,Utilaje!$B$4:$J$37,9,FALSE())*CHOOSE(C259,1,1.3,1.6),0)+IFERROR(VLOOKUP(F259,Utilaje!$B$4:$J$37,4,FALSE())*B259/3600*VLOOKUP(F259,Utilaje!$B$4:$J$37,9,FALSE())*CHOOSE(C259,1,1.3,1.6),0)+IFERROR(VLOOKUP(G259,Utilaje!$B$4:$J$37,4,FALSE())*B259/3600*VLOOKUP(G259,Utilaje!$B$4:$J$37,9,FALSE())*CHOOSE(C259,1,1.3,1.6),0)+IFERROR(VLOOKUP(H259,Utilaje!$B$4:$J$37,4,FALSE())*B259/3600*VLOOKUP(H259,Utilaje!$B$4:$J$37,9,FALSE())*CHOOSE(C259,1,1.3,1.6),0)+IFERROR(VLOOKUP(I259,Utilaje!$B$4:$J$37,4,FALSE())*B259/3600*VLOOKUP(I259,Utilaje!$B$4:$J$37,9,FALSE())*CHOOSE(C259,1,1.3,1.6),0)</f>
        <v>8.3333333333333328E-4</v>
      </c>
      <c r="G269" s="81">
        <f>IFERROR((VLOOKUP(E259,Utilaje!$B$4:$J$37,9,FALSE())+D259*60/I257)*(VLOOKUP(E259,Utilaje!$B$4:$J$37,6,FALSE())*F257+VLOOKUP(E259,Utilaje!$B$4:$J$37,7,FALSE())*G257+VLOOKUP(E259,Utilaje!$B$4:$J$37,8,FALSE())*H257)/3600*CHOOSE(C259,1,1.3,1.6),0)+IFERROR((VLOOKUP(F259,Utilaje!$B$4:$J$37,9,FALSE())+D259*60/I257)*(VLOOKUP(F259,Utilaje!$B$4:$J$37,6,FALSE())*F257+VLOOKUP(F259,Utilaje!$B$4:$J$37,7,FALSE())*G257+VLOOKUP(F259,Utilaje!$B$4:$J$37,8,FALSE())*H257)/3600*CHOOSE(C259,1,1.3,1.6),0)+IFERROR((VLOOKUP(G259,Utilaje!$B$4:$J$37,9,FALSE())+D259*60/I257)*(VLOOKUP(G259,Utilaje!$B$4:$J$37,6,FALSE())*F257+VLOOKUP(G259,Utilaje!$B$4:$J$37,7,FALSE())*G257+VLOOKUP(G259,Utilaje!$B$4:$J$37,8,FALSE())*H257)/3600*CHOOSE(C259,1,1.3,1.6),0)+IFERROR((VLOOKUP(H259,Utilaje!$B$4:$J$37,9,FALSE())+D259*60/I257)*(VLOOKUP(H259,Utilaje!$B$4:$J$37,6,FALSE())*F257+VLOOKUP(H259,Utilaje!$B$4:$J$37,7,FALSE())*G257+VLOOKUP(H259,Utilaje!$B$4:$J$37,8,FALSE())*H257)/3600*CHOOSE(C259,1,1.3,1.6),0)+IFERROR((VLOOKUP(I259,Utilaje!$B$4:$J$37,9,FALSE())+D259*60/I257)*(VLOOKUP(I259,Utilaje!$B$4:$J$37,6,FALSE())*F257+VLOOKUP(I259,Utilaje!$B$4:$J$37,7,FALSE())*G257+VLOOKUP(I259,Utilaje!$B$4:$J$37,8,FALSE())*H257)/3600*CHOOSE(C259,1,1.3,1.6),0)</f>
        <v>5.8799999999999998E-3</v>
      </c>
      <c r="H269" s="81">
        <f>G269*C257</f>
        <v>1.47E-4</v>
      </c>
      <c r="I269" s="81">
        <f>IFERROR(K257/I257,0)</f>
        <v>0</v>
      </c>
      <c r="J269" s="81">
        <f>E269+F269+G269+H269+I269</f>
        <v>6.8603333333333329E-3</v>
      </c>
      <c r="K269" s="81">
        <f>J269*D257</f>
        <v>1.7150833333333332E-3</v>
      </c>
      <c r="L269" s="81">
        <f>J269+K269</f>
        <v>8.5754166666666652E-3</v>
      </c>
      <c r="M269" s="81">
        <f>L269*E257</f>
        <v>1.7150833333333332E-3</v>
      </c>
      <c r="N269" s="83">
        <f>L269+M269</f>
        <v>1.0290499999999998E-2</v>
      </c>
      <c r="O269" s="84">
        <f>N269*1000</f>
        <v>10.290499999999998</v>
      </c>
      <c r="Q269" s="83">
        <f>ProgramCalcul!AL26</f>
        <v>0</v>
      </c>
      <c r="R269" s="84">
        <f>Q269*1000</f>
        <v>0</v>
      </c>
    </row>
    <row r="270" spans="1:18" s="50" customFormat="1" x14ac:dyDescent="0.25"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7"/>
    </row>
    <row r="271" spans="1:18" x14ac:dyDescent="0.25">
      <c r="A271" s="52" t="s">
        <v>180</v>
      </c>
      <c r="C271" s="53" t="s">
        <v>91</v>
      </c>
      <c r="D271" s="54" t="s">
        <v>181</v>
      </c>
      <c r="E271" s="53" t="s">
        <v>93</v>
      </c>
      <c r="F271" s="90" t="s">
        <v>182</v>
      </c>
    </row>
    <row r="272" spans="1:18" ht="24" customHeight="1" x14ac:dyDescent="0.25">
      <c r="B272" s="56" t="s">
        <v>95</v>
      </c>
      <c r="C272" s="56" t="s">
        <v>96</v>
      </c>
      <c r="D272" s="56" t="s">
        <v>97</v>
      </c>
      <c r="E272" s="56" t="s">
        <v>98</v>
      </c>
      <c r="F272" s="56" t="s">
        <v>99</v>
      </c>
      <c r="G272" s="56" t="s">
        <v>100</v>
      </c>
      <c r="H272" s="56" t="s">
        <v>101</v>
      </c>
      <c r="I272" s="56" t="s">
        <v>102</v>
      </c>
      <c r="J272" s="56" t="s">
        <v>103</v>
      </c>
      <c r="K272" s="56" t="s">
        <v>104</v>
      </c>
    </row>
    <row r="273" spans="2:18" x14ac:dyDescent="0.25">
      <c r="B273" s="57">
        <v>0</v>
      </c>
      <c r="C273" s="57">
        <v>2.5000000000000001E-2</v>
      </c>
      <c r="D273" s="57">
        <v>0.25</v>
      </c>
      <c r="E273" s="57">
        <v>0.2</v>
      </c>
      <c r="F273" s="58">
        <v>7</v>
      </c>
      <c r="G273" s="58">
        <v>9</v>
      </c>
      <c r="H273" s="58">
        <v>12</v>
      </c>
      <c r="I273" s="59">
        <v>100000</v>
      </c>
      <c r="J273" s="57">
        <v>0.03</v>
      </c>
      <c r="K273" s="58">
        <v>0</v>
      </c>
    </row>
    <row r="274" spans="2:18" ht="24" customHeight="1" x14ac:dyDescent="0.25">
      <c r="B274" s="56" t="s">
        <v>105</v>
      </c>
      <c r="C274" s="56" t="s">
        <v>106</v>
      </c>
      <c r="D274" s="56" t="s">
        <v>107</v>
      </c>
      <c r="E274" s="56" t="s">
        <v>108</v>
      </c>
      <c r="F274" s="56" t="s">
        <v>109</v>
      </c>
      <c r="G274" s="56" t="s">
        <v>110</v>
      </c>
      <c r="H274" s="56" t="s">
        <v>111</v>
      </c>
      <c r="I274" s="56" t="s">
        <v>112</v>
      </c>
    </row>
    <row r="275" spans="2:18" x14ac:dyDescent="0.25">
      <c r="B275" s="60">
        <v>0.5</v>
      </c>
      <c r="C275" s="61">
        <v>1</v>
      </c>
      <c r="D275" s="59">
        <v>40</v>
      </c>
      <c r="E275" s="62" t="s">
        <v>183</v>
      </c>
      <c r="F275" s="62" t="s">
        <v>114</v>
      </c>
      <c r="G275" s="62" t="s">
        <v>114</v>
      </c>
      <c r="H275" s="62" t="s">
        <v>114</v>
      </c>
      <c r="I275" s="62" t="s">
        <v>114</v>
      </c>
    </row>
    <row r="276" spans="2:18" x14ac:dyDescent="0.25">
      <c r="B276" s="56" t="s">
        <v>115</v>
      </c>
      <c r="C276" s="56" t="s">
        <v>116</v>
      </c>
      <c r="D276" s="56" t="s">
        <v>117</v>
      </c>
      <c r="E276" s="56" t="s">
        <v>118</v>
      </c>
      <c r="F276" s="56" t="s">
        <v>119</v>
      </c>
      <c r="G276" s="56" t="s">
        <v>120</v>
      </c>
    </row>
    <row r="277" spans="2:18" x14ac:dyDescent="0.25">
      <c r="B277" s="63">
        <v>1</v>
      </c>
      <c r="C277" s="64" t="str">
        <f>IF(ProgramCalcul!Y27=0,"Material 1",ProgramCalcul!Y27)</f>
        <v>Material 1</v>
      </c>
      <c r="D277" s="65"/>
      <c r="E277" s="65" t="s">
        <v>121</v>
      </c>
      <c r="F277" s="88">
        <f>ProgramCalcul!AH27</f>
        <v>0</v>
      </c>
      <c r="G277" s="67">
        <f>IF(OR(D277="",D277=0),F277,D277*F277)</f>
        <v>0</v>
      </c>
    </row>
    <row r="278" spans="2:18" x14ac:dyDescent="0.25">
      <c r="B278" s="63">
        <v>2</v>
      </c>
      <c r="C278" s="68" t="s">
        <v>122</v>
      </c>
      <c r="D278" s="69"/>
      <c r="E278" s="69" t="s">
        <v>121</v>
      </c>
      <c r="F278" s="70">
        <v>0</v>
      </c>
      <c r="G278" s="71">
        <f>IF(OR(D278="",D278=0),F278,D278*F278)</f>
        <v>0</v>
      </c>
    </row>
    <row r="279" spans="2:18" x14ac:dyDescent="0.25">
      <c r="B279" s="63">
        <v>3</v>
      </c>
      <c r="C279" s="68" t="s">
        <v>123</v>
      </c>
      <c r="D279" s="69"/>
      <c r="E279" s="69" t="s">
        <v>121</v>
      </c>
      <c r="F279" s="70">
        <v>0</v>
      </c>
      <c r="G279" s="71">
        <f>IF(OR(D279="",D279=0),F279,D279*F279)</f>
        <v>0</v>
      </c>
    </row>
    <row r="280" spans="2:18" x14ac:dyDescent="0.25">
      <c r="B280" s="63">
        <v>4</v>
      </c>
      <c r="C280" s="68" t="s">
        <v>124</v>
      </c>
      <c r="D280" s="69"/>
      <c r="E280" s="69" t="s">
        <v>121</v>
      </c>
      <c r="F280" s="70">
        <v>0</v>
      </c>
      <c r="G280" s="71">
        <f>IF(OR(D280="",D280=0),F280,D280*F280)</f>
        <v>0</v>
      </c>
    </row>
    <row r="281" spans="2:18" x14ac:dyDescent="0.25">
      <c r="B281" s="63">
        <v>5</v>
      </c>
      <c r="C281" s="68" t="s">
        <v>125</v>
      </c>
      <c r="D281" s="69"/>
      <c r="E281" s="69" t="s">
        <v>121</v>
      </c>
      <c r="F281" s="70">
        <v>0</v>
      </c>
      <c r="G281" s="71">
        <f>IF(OR(D281="",D281=0),F281,D281*F281)</f>
        <v>0</v>
      </c>
    </row>
    <row r="282" spans="2:18" ht="48" customHeight="1" x14ac:dyDescent="0.25">
      <c r="B282" s="72" t="s">
        <v>126</v>
      </c>
      <c r="C282" s="73"/>
      <c r="D282" s="74"/>
      <c r="E282" s="74"/>
      <c r="F282" s="89">
        <v>0</v>
      </c>
      <c r="G282" s="71">
        <f>IFERROR(F282/(4*I273),0)</f>
        <v>0</v>
      </c>
    </row>
    <row r="283" spans="2:18" ht="36" customHeight="1" x14ac:dyDescent="0.25">
      <c r="B283" s="76" t="s">
        <v>127</v>
      </c>
      <c r="C283" s="77"/>
      <c r="D283" s="78"/>
      <c r="E283" s="78"/>
      <c r="F283" s="78"/>
      <c r="G283" s="79">
        <f>SUM(G277:G282)</f>
        <v>0</v>
      </c>
    </row>
    <row r="284" spans="2:18" ht="24" customHeight="1" x14ac:dyDescent="0.25">
      <c r="B284" s="56" t="s">
        <v>128</v>
      </c>
      <c r="C284" s="56" t="s">
        <v>129</v>
      </c>
      <c r="D284" s="56" t="s">
        <v>130</v>
      </c>
      <c r="E284" s="56" t="s">
        <v>131</v>
      </c>
      <c r="F284" s="56" t="s">
        <v>132</v>
      </c>
      <c r="G284" s="56" t="s">
        <v>133</v>
      </c>
      <c r="H284" s="56" t="s">
        <v>134</v>
      </c>
      <c r="I284" s="56" t="s">
        <v>135</v>
      </c>
      <c r="J284" s="56" t="s">
        <v>136</v>
      </c>
      <c r="K284" s="56" t="s">
        <v>137</v>
      </c>
      <c r="L284" s="56" t="s">
        <v>138</v>
      </c>
      <c r="M284" s="56" t="s">
        <v>139</v>
      </c>
      <c r="N284" s="56" t="s">
        <v>140</v>
      </c>
      <c r="O284" s="56" t="s">
        <v>141</v>
      </c>
      <c r="Q284" s="80" t="s">
        <v>142</v>
      </c>
      <c r="R284" s="80" t="s">
        <v>141</v>
      </c>
    </row>
    <row r="285" spans="2:18" x14ac:dyDescent="0.25">
      <c r="B285" s="81">
        <f>G283</f>
        <v>0</v>
      </c>
      <c r="C285" s="81">
        <f>B285*(1+J273)</f>
        <v>0</v>
      </c>
      <c r="D285" s="81">
        <f>C285*B273</f>
        <v>0</v>
      </c>
      <c r="E285" s="81">
        <f>C285+D285</f>
        <v>0</v>
      </c>
      <c r="F285" s="81">
        <f>IFERROR(VLOOKUP(E275,Utilaje!$B$4:$J$37,4,FALSE())*B275/3600*VLOOKUP(E275,Utilaje!$B$4:$J$37,9,FALSE())*CHOOSE(C275,1,1.3,1.6),0)+IFERROR(VLOOKUP(F275,Utilaje!$B$4:$J$37,4,FALSE())*B275/3600*VLOOKUP(F275,Utilaje!$B$4:$J$37,9,FALSE())*CHOOSE(C275,1,1.3,1.6),0)+IFERROR(VLOOKUP(G275,Utilaje!$B$4:$J$37,4,FALSE())*B275/3600*VLOOKUP(G275,Utilaje!$B$4:$J$37,9,FALSE())*CHOOSE(C275,1,1.3,1.6),0)+IFERROR(VLOOKUP(H275,Utilaje!$B$4:$J$37,4,FALSE())*B275/3600*VLOOKUP(H275,Utilaje!$B$4:$J$37,9,FALSE())*CHOOSE(C275,1,1.3,1.6),0)+IFERROR(VLOOKUP(I275,Utilaje!$B$4:$J$37,4,FALSE())*B275/3600*VLOOKUP(I275,Utilaje!$B$4:$J$37,9,FALSE())*CHOOSE(C275,1,1.3,1.6),0)</f>
        <v>8.3333333333333328E-4</v>
      </c>
      <c r="G285" s="81">
        <f>IFERROR((VLOOKUP(E275,Utilaje!$B$4:$J$37,9,FALSE())+D275*60/I273)*(VLOOKUP(E275,Utilaje!$B$4:$J$37,6,FALSE())*F273+VLOOKUP(E275,Utilaje!$B$4:$J$37,7,FALSE())*G273+VLOOKUP(E275,Utilaje!$B$4:$J$37,8,FALSE())*H273)/3600*CHOOSE(C275,1,1.3,1.6),0)+IFERROR((VLOOKUP(F275,Utilaje!$B$4:$J$37,9,FALSE())+D275*60/I273)*(VLOOKUP(F275,Utilaje!$B$4:$J$37,6,FALSE())*F273+VLOOKUP(F275,Utilaje!$B$4:$J$37,7,FALSE())*G273+VLOOKUP(F275,Utilaje!$B$4:$J$37,8,FALSE())*H273)/3600*CHOOSE(C275,1,1.3,1.6),0)+IFERROR((VLOOKUP(G275,Utilaje!$B$4:$J$37,9,FALSE())+D275*60/I273)*(VLOOKUP(G275,Utilaje!$B$4:$J$37,6,FALSE())*F273+VLOOKUP(G275,Utilaje!$B$4:$J$37,7,FALSE())*G273+VLOOKUP(G275,Utilaje!$B$4:$J$37,8,FALSE())*H273)/3600*CHOOSE(C275,1,1.3,1.6),0)+IFERROR((VLOOKUP(H275,Utilaje!$B$4:$J$37,9,FALSE())+D275*60/I273)*(VLOOKUP(H275,Utilaje!$B$4:$J$37,6,FALSE())*F273+VLOOKUP(H275,Utilaje!$B$4:$J$37,7,FALSE())*G273+VLOOKUP(H275,Utilaje!$B$4:$J$37,8,FALSE())*H273)/3600*CHOOSE(C275,1,1.3,1.6),0)+IFERROR((VLOOKUP(I275,Utilaje!$B$4:$J$37,9,FALSE())+D275*60/I273)*(VLOOKUP(I275,Utilaje!$B$4:$J$37,6,FALSE())*F273+VLOOKUP(I275,Utilaje!$B$4:$J$37,7,FALSE())*G273+VLOOKUP(I275,Utilaje!$B$4:$J$37,8,FALSE())*H273)/3600*CHOOSE(C275,1,1.3,1.6),0)</f>
        <v>5.8799999999999998E-3</v>
      </c>
      <c r="H285" s="81">
        <f>G285*C273</f>
        <v>1.47E-4</v>
      </c>
      <c r="I285" s="81">
        <f>IFERROR(K273/I273,0)</f>
        <v>0</v>
      </c>
      <c r="J285" s="81">
        <f>E285+F285+G285+H285+I285</f>
        <v>6.8603333333333329E-3</v>
      </c>
      <c r="K285" s="81">
        <f>J285*D273</f>
        <v>1.7150833333333332E-3</v>
      </c>
      <c r="L285" s="81">
        <f>J285+K285</f>
        <v>8.5754166666666652E-3</v>
      </c>
      <c r="M285" s="81">
        <f>L285*E273</f>
        <v>1.7150833333333332E-3</v>
      </c>
      <c r="N285" s="83">
        <f>L285+M285</f>
        <v>1.0290499999999998E-2</v>
      </c>
      <c r="O285" s="84">
        <f>N285*1000</f>
        <v>10.290499999999998</v>
      </c>
      <c r="Q285" s="83">
        <f>ProgramCalcul!AL27</f>
        <v>0</v>
      </c>
      <c r="R285" s="84">
        <f>Q285*1000</f>
        <v>0</v>
      </c>
    </row>
  </sheetData>
  <mergeCells count="3">
    <mergeCell ref="A1:U1"/>
    <mergeCell ref="F143:H143"/>
    <mergeCell ref="F159:H159"/>
  </mergeCells>
  <dataValidations count="1">
    <dataValidation type="list" allowBlank="1" showInputMessage="1" showErrorMessage="1" sqref="T8 C51 C67 C83 C99 C115 C131 C147 C163 C179 C195 C211 C227 C243 C259 C275" xr:uid="{00000000-0002-0000-0100-000000000000}">
      <formula1>"1,2,3"</formula1>
      <formula2>0</formula2>
    </dataValidation>
  </dataValidations>
  <pageMargins left="0.4" right="0.4" top="0.6" bottom="0.6" header="0.511811023622047" footer="0.511811023622047"/>
  <pageSetup paperSize="9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AC090"/>
  </sheetPr>
  <dimension ref="A1:P22"/>
  <sheetViews>
    <sheetView showGridLines="0" zoomScale="130" zoomScaleNormal="130" workbookViewId="0">
      <pane xSplit="3" ySplit="4" topLeftCell="M5" activePane="bottomRight" state="frozen"/>
      <selection pane="topRight" activeCell="E1" sqref="E1"/>
      <selection pane="bottomLeft" activeCell="A5" sqref="A5"/>
      <selection pane="bottomRight" activeCell="F14" sqref="F14"/>
    </sheetView>
  </sheetViews>
  <sheetFormatPr defaultColWidth="8.7109375" defaultRowHeight="15" x14ac:dyDescent="0.25"/>
  <cols>
    <col min="1" max="1" width="5" customWidth="1"/>
    <col min="2" max="2" width="11.42578125" customWidth="1"/>
    <col min="3" max="3" width="38.85546875" customWidth="1"/>
    <col min="4" max="12" width="12" customWidth="1"/>
    <col min="13" max="13" width="9.28515625" customWidth="1"/>
    <col min="14" max="14" width="9.7109375" customWidth="1"/>
    <col min="15" max="15" width="9.140625" customWidth="1"/>
    <col min="16" max="16" width="12" customWidth="1"/>
  </cols>
  <sheetData>
    <row r="1" spans="1:16" ht="36" customHeight="1" x14ac:dyDescent="0.25">
      <c r="A1" s="159" t="s">
        <v>184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</row>
    <row r="2" spans="1:16" ht="13.5" customHeight="1" x14ac:dyDescent="0.25">
      <c r="A2" s="160" t="s">
        <v>185</v>
      </c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</row>
    <row r="3" spans="1:16" ht="7.5" customHeight="1" x14ac:dyDescent="0.25">
      <c r="B3" s="91" t="s">
        <v>186</v>
      </c>
    </row>
    <row r="4" spans="1:16" ht="42" customHeight="1" x14ac:dyDescent="0.25">
      <c r="A4" s="2" t="s">
        <v>2</v>
      </c>
      <c r="B4" s="2" t="s">
        <v>187</v>
      </c>
      <c r="C4" s="2" t="s">
        <v>188</v>
      </c>
      <c r="D4" s="92" t="s">
        <v>189</v>
      </c>
      <c r="E4" s="4" t="s">
        <v>102</v>
      </c>
      <c r="F4" s="4" t="s">
        <v>103</v>
      </c>
      <c r="G4" s="4" t="s">
        <v>190</v>
      </c>
      <c r="H4" s="4" t="s">
        <v>95</v>
      </c>
      <c r="I4" s="4" t="s">
        <v>97</v>
      </c>
      <c r="J4" s="4" t="s">
        <v>98</v>
      </c>
      <c r="K4" s="93" t="s">
        <v>191</v>
      </c>
      <c r="L4" s="93" t="s">
        <v>192</v>
      </c>
      <c r="M4" s="93" t="s">
        <v>141</v>
      </c>
      <c r="N4" s="94"/>
      <c r="O4" s="95" t="s">
        <v>193</v>
      </c>
      <c r="P4" s="96" t="s">
        <v>141</v>
      </c>
    </row>
    <row r="5" spans="1:16" ht="19.5" customHeight="1" x14ac:dyDescent="0.25">
      <c r="A5" s="97">
        <v>1</v>
      </c>
      <c r="B5" s="98" t="str">
        <f>RETETA!D47</f>
        <v>ART01</v>
      </c>
      <c r="C5" s="98" t="str">
        <f>RETETA!F47</f>
        <v>Articol 1</v>
      </c>
      <c r="D5" s="98" t="str">
        <f>RETETA!E51</f>
        <v>GD 301</v>
      </c>
      <c r="E5" s="99">
        <f>RETETA!I49</f>
        <v>100000</v>
      </c>
      <c r="F5" s="100">
        <f>RETETA!J49</f>
        <v>0.03</v>
      </c>
      <c r="G5" s="101">
        <f>RETETA!G59</f>
        <v>8.8888888888888892E-2</v>
      </c>
      <c r="H5" s="100">
        <f>RETETA!B49</f>
        <v>0</v>
      </c>
      <c r="I5" s="100">
        <f>RETETA!D49</f>
        <v>0.25</v>
      </c>
      <c r="J5" s="100">
        <f>RETETA!E49</f>
        <v>0.2</v>
      </c>
      <c r="K5" s="102">
        <f>RETETA!L61</f>
        <v>0.1242698611111111</v>
      </c>
      <c r="L5" s="102">
        <f>RETETA!N61</f>
        <v>0.14912383333333332</v>
      </c>
      <c r="M5" s="103">
        <f t="shared" ref="M5:M19" si="0">L5*1000</f>
        <v>149.12383333333332</v>
      </c>
      <c r="N5" s="104"/>
      <c r="O5" s="105">
        <f>ProgramCalcul!AL6</f>
        <v>0.20444444444444443</v>
      </c>
      <c r="P5" s="106">
        <f t="shared" ref="P5:P19" si="1">O5*1000</f>
        <v>204.44444444444443</v>
      </c>
    </row>
    <row r="6" spans="1:16" ht="19.5" customHeight="1" x14ac:dyDescent="0.25">
      <c r="A6" s="97">
        <v>2</v>
      </c>
      <c r="B6" s="98" t="str">
        <f>RETETA!D63</f>
        <v>ART02</v>
      </c>
      <c r="C6" s="98" t="str">
        <f>RETETA!F63</f>
        <v>Articol 2</v>
      </c>
      <c r="D6" s="98" t="str">
        <f>RETETA!E67</f>
        <v>GD 301</v>
      </c>
      <c r="E6" s="99">
        <f>RETETA!I65</f>
        <v>100000</v>
      </c>
      <c r="F6" s="100">
        <f>RETETA!J65</f>
        <v>0.03</v>
      </c>
      <c r="G6" s="101">
        <f>RETETA!G75</f>
        <v>8.845643520566121E-2</v>
      </c>
      <c r="H6" s="100">
        <f>RETETA!B65</f>
        <v>0</v>
      </c>
      <c r="I6" s="100">
        <f>RETETA!D65</f>
        <v>0.25</v>
      </c>
      <c r="J6" s="100">
        <f>RETETA!E65</f>
        <v>0.2</v>
      </c>
      <c r="K6" s="102">
        <f>RETETA!L77</f>
        <v>0.12246307699395548</v>
      </c>
      <c r="L6" s="102">
        <f>RETETA!N77</f>
        <v>0.14695569239274658</v>
      </c>
      <c r="M6" s="103">
        <f t="shared" si="0"/>
        <v>146.95569239274658</v>
      </c>
      <c r="N6" s="104"/>
      <c r="O6" s="105">
        <f>ProgramCalcul!AL7</f>
        <v>0.20344980097302076</v>
      </c>
      <c r="P6" s="106">
        <f t="shared" si="1"/>
        <v>203.44980097302076</v>
      </c>
    </row>
    <row r="7" spans="1:16" ht="19.5" customHeight="1" x14ac:dyDescent="0.25">
      <c r="A7" s="97">
        <v>3</v>
      </c>
      <c r="B7" s="98" t="str">
        <f>RETETA!D79</f>
        <v>ART03</v>
      </c>
      <c r="C7" s="98" t="str">
        <f>RETETA!F79</f>
        <v>Articol 3</v>
      </c>
      <c r="D7" s="98" t="str">
        <f>RETETA!E83</f>
        <v>GD 301</v>
      </c>
      <c r="E7" s="99">
        <f>RETETA!I81</f>
        <v>100000</v>
      </c>
      <c r="F7" s="100">
        <f>RETETA!J81</f>
        <v>0.03</v>
      </c>
      <c r="G7" s="101">
        <f>RETETA!G91</f>
        <v>4.1135335252982311E-2</v>
      </c>
      <c r="H7" s="100">
        <f>RETETA!B81</f>
        <v>0</v>
      </c>
      <c r="I7" s="100">
        <f>RETETA!D81</f>
        <v>0.25</v>
      </c>
      <c r="J7" s="100">
        <f>RETETA!E81</f>
        <v>0.2</v>
      </c>
      <c r="K7" s="102">
        <f>RETETA!L93</f>
        <v>6.1537160804881398E-2</v>
      </c>
      <c r="L7" s="102">
        <f>RETETA!N93</f>
        <v>7.3844592965857686E-2</v>
      </c>
      <c r="M7" s="103">
        <f t="shared" si="0"/>
        <v>73.844592965857686</v>
      </c>
      <c r="N7" s="104"/>
      <c r="O7" s="105">
        <f>ProgramCalcul!AL8</f>
        <v>9.4611271081859308E-2</v>
      </c>
      <c r="P7" s="106">
        <f t="shared" si="1"/>
        <v>94.611271081859314</v>
      </c>
    </row>
    <row r="8" spans="1:16" ht="19.5" customHeight="1" x14ac:dyDescent="0.25">
      <c r="A8" s="97">
        <v>4</v>
      </c>
      <c r="B8" s="98" t="str">
        <f>RETETA!D95</f>
        <v>ART04</v>
      </c>
      <c r="C8" s="98" t="str">
        <f>RETETA!F95</f>
        <v>Articol 4</v>
      </c>
      <c r="D8" s="98" t="str">
        <f>RETETA!E99</f>
        <v>GD 301</v>
      </c>
      <c r="E8" s="99">
        <f>RETETA!I97</f>
        <v>100000</v>
      </c>
      <c r="F8" s="100">
        <f>RETETA!J97</f>
        <v>0.03</v>
      </c>
      <c r="G8" s="101">
        <f>RETETA!G107</f>
        <v>5.9031877213695398E-2</v>
      </c>
      <c r="H8" s="100">
        <f>RETETA!B97</f>
        <v>0</v>
      </c>
      <c r="I8" s="100">
        <f>RETETA!D97</f>
        <v>0.25</v>
      </c>
      <c r="J8" s="100">
        <f>RETETA!E97</f>
        <v>0.2</v>
      </c>
      <c r="K8" s="102">
        <f>RETETA!L109</f>
        <v>8.4578958579299493E-2</v>
      </c>
      <c r="L8" s="102">
        <f>RETETA!N109</f>
        <v>0.10149475029515939</v>
      </c>
      <c r="M8" s="103">
        <f t="shared" si="0"/>
        <v>101.49475029515939</v>
      </c>
      <c r="N8" s="104"/>
      <c r="O8" s="105">
        <f>ProgramCalcul!AL9</f>
        <v>0.13577331759149941</v>
      </c>
      <c r="P8" s="106">
        <f t="shared" si="1"/>
        <v>135.77331759149942</v>
      </c>
    </row>
    <row r="9" spans="1:16" ht="19.5" customHeight="1" x14ac:dyDescent="0.25">
      <c r="A9" s="97">
        <v>5</v>
      </c>
      <c r="B9" s="98" t="str">
        <f>RETETA!D111</f>
        <v>ART05</v>
      </c>
      <c r="C9" s="98" t="str">
        <f>RETETA!F111</f>
        <v>Articol 5</v>
      </c>
      <c r="D9" s="98" t="str">
        <f>RETETA!E115</f>
        <v>GD 301</v>
      </c>
      <c r="E9" s="99">
        <f>RETETA!I113</f>
        <v>100000</v>
      </c>
      <c r="F9" s="100">
        <f>RETETA!J113</f>
        <v>0.03</v>
      </c>
      <c r="G9" s="101">
        <f>RETETA!G123</f>
        <v>7.8448275862068968</v>
      </c>
      <c r="H9" s="100">
        <f>RETETA!B113</f>
        <v>0</v>
      </c>
      <c r="I9" s="100">
        <f>RETETA!D113</f>
        <v>0.25</v>
      </c>
      <c r="J9" s="100">
        <f>RETETA!E113</f>
        <v>0.2</v>
      </c>
      <c r="K9" s="102">
        <f>RETETA!L125</f>
        <v>10.108790933908045</v>
      </c>
      <c r="L9" s="102">
        <f>RETETA!N125</f>
        <v>12.130549120689654</v>
      </c>
      <c r="M9" s="103">
        <f t="shared" si="0"/>
        <v>12130.549120689655</v>
      </c>
      <c r="N9" s="104"/>
      <c r="O9" s="105">
        <f>ProgramCalcul!AL10</f>
        <v>18.043103448275861</v>
      </c>
      <c r="P9" s="106">
        <f t="shared" si="1"/>
        <v>18043.103448275862</v>
      </c>
    </row>
    <row r="10" spans="1:16" ht="19.5" customHeight="1" x14ac:dyDescent="0.25">
      <c r="A10" s="97">
        <v>6</v>
      </c>
      <c r="B10" s="98" t="str">
        <f>RETETA!D127</f>
        <v>ART06</v>
      </c>
      <c r="C10" s="98" t="str">
        <f>RETETA!F127</f>
        <v>Articol 6</v>
      </c>
      <c r="D10" s="98" t="str">
        <f>RETETA!E131</f>
        <v>GD 301</v>
      </c>
      <c r="E10" s="99">
        <f>RETETA!I129</f>
        <v>100000</v>
      </c>
      <c r="F10" s="100">
        <f>RETETA!J129</f>
        <v>0.03</v>
      </c>
      <c r="G10" s="101">
        <f>RETETA!G139</f>
        <v>0</v>
      </c>
      <c r="H10" s="100">
        <f>RETETA!B129</f>
        <v>0</v>
      </c>
      <c r="I10" s="100">
        <f>RETETA!D129</f>
        <v>0.25</v>
      </c>
      <c r="J10" s="100">
        <f>RETETA!E129</f>
        <v>0.2</v>
      </c>
      <c r="K10" s="102">
        <f>RETETA!L141</f>
        <v>8.5754166666666652E-3</v>
      </c>
      <c r="L10" s="102">
        <f>RETETA!N141</f>
        <v>1.0290499999999998E-2</v>
      </c>
      <c r="M10" s="103">
        <f t="shared" si="0"/>
        <v>10.290499999999998</v>
      </c>
      <c r="N10" s="104"/>
      <c r="O10" s="105">
        <f>ProgramCalcul!AL11</f>
        <v>0</v>
      </c>
      <c r="P10" s="106">
        <f t="shared" si="1"/>
        <v>0</v>
      </c>
    </row>
    <row r="11" spans="1:16" ht="19.5" customHeight="1" x14ac:dyDescent="0.25">
      <c r="A11" s="97">
        <v>7</v>
      </c>
      <c r="B11" s="107">
        <f>RETETA!D143</f>
        <v>0</v>
      </c>
      <c r="C11" s="98">
        <f>RETETA!F143</f>
        <v>0</v>
      </c>
      <c r="D11" s="98" t="str">
        <f>RETETA!E147</f>
        <v>KT-MQ-1800</v>
      </c>
      <c r="E11" s="99">
        <f>RETETA!I145</f>
        <v>100000</v>
      </c>
      <c r="F11" s="100">
        <f>RETETA!J145</f>
        <v>0.03</v>
      </c>
      <c r="G11" s="101">
        <f>RETETA!G155</f>
        <v>0</v>
      </c>
      <c r="H11" s="100">
        <f>RETETA!B145</f>
        <v>0</v>
      </c>
      <c r="I11" s="100">
        <f>RETETA!D145</f>
        <v>0.25</v>
      </c>
      <c r="J11" s="100">
        <f>RETETA!E145</f>
        <v>0.2</v>
      </c>
      <c r="K11" s="102">
        <f>RETETA!L157</f>
        <v>2.1525833333333331E-2</v>
      </c>
      <c r="L11" s="102">
        <f>RETETA!N157</f>
        <v>2.5830999999999996E-2</v>
      </c>
      <c r="M11" s="103">
        <f t="shared" si="0"/>
        <v>25.830999999999996</v>
      </c>
      <c r="N11" s="104"/>
      <c r="O11" s="105">
        <f>ProgramCalcul!AL12</f>
        <v>0</v>
      </c>
      <c r="P11" s="106">
        <f t="shared" si="1"/>
        <v>0</v>
      </c>
    </row>
    <row r="12" spans="1:16" ht="19.5" customHeight="1" x14ac:dyDescent="0.25">
      <c r="A12" s="97">
        <v>8</v>
      </c>
      <c r="B12" s="107">
        <f>RETETA!D159</f>
        <v>0</v>
      </c>
      <c r="C12" s="98">
        <f>RETETA!F159</f>
        <v>0</v>
      </c>
      <c r="D12" s="98" t="str">
        <f>RETETA!E163</f>
        <v>GD X1</v>
      </c>
      <c r="E12" s="99">
        <f>RETETA!I161</f>
        <v>100000</v>
      </c>
      <c r="F12" s="100">
        <f>RETETA!J161</f>
        <v>0.03</v>
      </c>
      <c r="G12" s="101">
        <f>RETETA!G171</f>
        <v>0</v>
      </c>
      <c r="H12" s="100">
        <f>RETETA!B161</f>
        <v>0</v>
      </c>
      <c r="I12" s="100">
        <f>RETETA!D161</f>
        <v>0.25</v>
      </c>
      <c r="J12" s="100">
        <f>RETETA!E161</f>
        <v>0.2</v>
      </c>
      <c r="K12" s="102">
        <f>RETETA!L173</f>
        <v>1.4512916666666667E-2</v>
      </c>
      <c r="L12" s="102">
        <f>RETETA!N173</f>
        <v>1.74155E-2</v>
      </c>
      <c r="M12" s="103">
        <f t="shared" si="0"/>
        <v>17.415500000000002</v>
      </c>
      <c r="N12" s="104"/>
      <c r="O12" s="105">
        <f>ProgramCalcul!AL13</f>
        <v>0</v>
      </c>
      <c r="P12" s="106">
        <f t="shared" si="1"/>
        <v>0</v>
      </c>
    </row>
    <row r="13" spans="1:16" ht="19.5" customHeight="1" x14ac:dyDescent="0.25">
      <c r="A13" s="97">
        <v>9</v>
      </c>
      <c r="B13" s="98" t="str">
        <f>RETETA!D175</f>
        <v>ART09</v>
      </c>
      <c r="C13" s="98" t="str">
        <f>RETETA!F175</f>
        <v>Articol 9</v>
      </c>
      <c r="D13" s="98" t="str">
        <f>RETETA!E179</f>
        <v>KT-MQ-1800</v>
      </c>
      <c r="E13" s="99">
        <f>RETETA!I177</f>
        <v>100000</v>
      </c>
      <c r="F13" s="100">
        <f>RETETA!J177</f>
        <v>0.03</v>
      </c>
      <c r="G13" s="101">
        <f>RETETA!G187</f>
        <v>0</v>
      </c>
      <c r="H13" s="100">
        <f>RETETA!B177</f>
        <v>0</v>
      </c>
      <c r="I13" s="100">
        <f>RETETA!D177</f>
        <v>0.25</v>
      </c>
      <c r="J13" s="100">
        <f>RETETA!E177</f>
        <v>0.2</v>
      </c>
      <c r="K13" s="102">
        <f>RETETA!L189</f>
        <v>2.027583333333333E-2</v>
      </c>
      <c r="L13" s="102">
        <f>RETETA!N189</f>
        <v>2.4330999999999995E-2</v>
      </c>
      <c r="M13" s="103">
        <f t="shared" si="0"/>
        <v>24.330999999999996</v>
      </c>
      <c r="N13" s="104"/>
      <c r="O13" s="105">
        <f>ProgramCalcul!AL14</f>
        <v>0</v>
      </c>
      <c r="P13" s="106">
        <f t="shared" si="1"/>
        <v>0</v>
      </c>
    </row>
    <row r="14" spans="1:16" ht="19.5" customHeight="1" x14ac:dyDescent="0.25">
      <c r="A14" s="97">
        <v>10</v>
      </c>
      <c r="B14" s="98" t="str">
        <f>RETETA!D191</f>
        <v>ART10</v>
      </c>
      <c r="C14" s="98" t="str">
        <f>RETETA!F191</f>
        <v>Articol 10</v>
      </c>
      <c r="D14" s="98" t="str">
        <f>RETETA!E195</f>
        <v>KT-MQ-1800</v>
      </c>
      <c r="E14" s="99">
        <f>RETETA!I193</f>
        <v>100000</v>
      </c>
      <c r="F14" s="100">
        <f>RETETA!J193</f>
        <v>0.03</v>
      </c>
      <c r="G14" s="101">
        <f>RETETA!G203</f>
        <v>0</v>
      </c>
      <c r="H14" s="100">
        <f>RETETA!B193</f>
        <v>0</v>
      </c>
      <c r="I14" s="100">
        <f>RETETA!D193</f>
        <v>0.25</v>
      </c>
      <c r="J14" s="100">
        <f>RETETA!E193</f>
        <v>0.2</v>
      </c>
      <c r="K14" s="102">
        <f>RETETA!L205</f>
        <v>2.027583333333333E-2</v>
      </c>
      <c r="L14" s="102">
        <f>RETETA!N205</f>
        <v>2.4330999999999995E-2</v>
      </c>
      <c r="M14" s="103">
        <f t="shared" si="0"/>
        <v>24.330999999999996</v>
      </c>
      <c r="N14" s="104"/>
      <c r="O14" s="105">
        <f>ProgramCalcul!AL15</f>
        <v>0</v>
      </c>
      <c r="P14" s="106">
        <f t="shared" si="1"/>
        <v>0</v>
      </c>
    </row>
    <row r="15" spans="1:16" ht="19.5" customHeight="1" x14ac:dyDescent="0.25">
      <c r="A15" s="97">
        <v>11</v>
      </c>
      <c r="B15" s="98" t="str">
        <f>RETETA!D207</f>
        <v>ART11</v>
      </c>
      <c r="C15" s="98" t="str">
        <f>RETETA!F207</f>
        <v>Articol 11</v>
      </c>
      <c r="D15" s="98" t="str">
        <f>RETETA!E211</f>
        <v>GD X1</v>
      </c>
      <c r="E15" s="99">
        <f>RETETA!I209</f>
        <v>100000</v>
      </c>
      <c r="F15" s="100">
        <f>RETETA!J209</f>
        <v>0.03</v>
      </c>
      <c r="G15" s="101">
        <f>RETETA!G219</f>
        <v>0</v>
      </c>
      <c r="H15" s="100">
        <f>RETETA!B209</f>
        <v>0</v>
      </c>
      <c r="I15" s="100">
        <f>RETETA!D209</f>
        <v>0.25</v>
      </c>
      <c r="J15" s="100">
        <f>RETETA!E209</f>
        <v>0.2</v>
      </c>
      <c r="K15" s="102">
        <f>RETETA!L221</f>
        <v>1.3262916666666666E-2</v>
      </c>
      <c r="L15" s="102">
        <f>RETETA!N221</f>
        <v>1.5915499999999999E-2</v>
      </c>
      <c r="M15" s="103">
        <f t="shared" si="0"/>
        <v>15.9155</v>
      </c>
      <c r="N15" s="104"/>
      <c r="O15" s="105">
        <f>ProgramCalcul!AL16</f>
        <v>0</v>
      </c>
      <c r="P15" s="106">
        <f t="shared" si="1"/>
        <v>0</v>
      </c>
    </row>
    <row r="16" spans="1:16" ht="19.5" customHeight="1" x14ac:dyDescent="0.25">
      <c r="A16" s="97">
        <v>12</v>
      </c>
      <c r="B16" s="98" t="str">
        <f>RETETA!D223</f>
        <v>ART12</v>
      </c>
      <c r="C16" s="98" t="str">
        <f>RETETA!F223</f>
        <v>Articol 12</v>
      </c>
      <c r="D16" s="98" t="str">
        <f>RETETA!E227</f>
        <v>GD X1</v>
      </c>
      <c r="E16" s="99">
        <f>RETETA!I225</f>
        <v>100000</v>
      </c>
      <c r="F16" s="100">
        <f>RETETA!J225</f>
        <v>0.03</v>
      </c>
      <c r="G16" s="101">
        <f>RETETA!G235</f>
        <v>0</v>
      </c>
      <c r="H16" s="100">
        <f>RETETA!B225</f>
        <v>0</v>
      </c>
      <c r="I16" s="100">
        <f>RETETA!D225</f>
        <v>0.25</v>
      </c>
      <c r="J16" s="100">
        <f>RETETA!E225</f>
        <v>0.2</v>
      </c>
      <c r="K16" s="102">
        <f>RETETA!L237</f>
        <v>1.3262916666666666E-2</v>
      </c>
      <c r="L16" s="102">
        <f>RETETA!N237</f>
        <v>1.5915499999999999E-2</v>
      </c>
      <c r="M16" s="103">
        <f t="shared" si="0"/>
        <v>15.9155</v>
      </c>
      <c r="N16" s="104"/>
      <c r="O16" s="105">
        <f>ProgramCalcul!AL17</f>
        <v>0</v>
      </c>
      <c r="P16" s="106">
        <f t="shared" si="1"/>
        <v>0</v>
      </c>
    </row>
    <row r="17" spans="1:16" ht="19.5" customHeight="1" x14ac:dyDescent="0.25">
      <c r="A17" s="97">
        <v>13</v>
      </c>
      <c r="B17" s="98" t="str">
        <f>RETETA!D239</f>
        <v>ART13</v>
      </c>
      <c r="C17" s="98" t="str">
        <f>RETETA!F239</f>
        <v>Articol 13</v>
      </c>
      <c r="D17" s="98" t="str">
        <f>RETETA!E243</f>
        <v>GD 301</v>
      </c>
      <c r="E17" s="99">
        <f>RETETA!I241</f>
        <v>100000</v>
      </c>
      <c r="F17" s="100">
        <f>RETETA!J241</f>
        <v>0.03</v>
      </c>
      <c r="G17" s="101">
        <f>RETETA!G251</f>
        <v>0</v>
      </c>
      <c r="H17" s="100">
        <f>RETETA!B241</f>
        <v>0</v>
      </c>
      <c r="I17" s="100">
        <f>RETETA!D241</f>
        <v>0.25</v>
      </c>
      <c r="J17" s="100">
        <f>RETETA!E241</f>
        <v>0.2</v>
      </c>
      <c r="K17" s="102">
        <f>RETETA!L253</f>
        <v>8.5754166666666652E-3</v>
      </c>
      <c r="L17" s="102">
        <f>RETETA!N253</f>
        <v>1.0290499999999998E-2</v>
      </c>
      <c r="M17" s="103">
        <f t="shared" si="0"/>
        <v>10.290499999999998</v>
      </c>
      <c r="N17" s="104"/>
      <c r="O17" s="105">
        <f>ProgramCalcul!AL18</f>
        <v>0</v>
      </c>
      <c r="P17" s="106">
        <f t="shared" si="1"/>
        <v>0</v>
      </c>
    </row>
    <row r="18" spans="1:16" ht="19.5" customHeight="1" x14ac:dyDescent="0.25">
      <c r="A18" s="97">
        <v>14</v>
      </c>
      <c r="B18" s="98" t="str">
        <f>RETETA!D255</f>
        <v>ART14</v>
      </c>
      <c r="C18" s="98" t="str">
        <f>RETETA!F255</f>
        <v>Articol 14</v>
      </c>
      <c r="D18" s="98" t="str">
        <f>RETETA!E259</f>
        <v>GD 301</v>
      </c>
      <c r="E18" s="99">
        <f>RETETA!I257</f>
        <v>100000</v>
      </c>
      <c r="F18" s="100">
        <f>RETETA!J257</f>
        <v>0.03</v>
      </c>
      <c r="G18" s="101">
        <f>RETETA!G267</f>
        <v>0</v>
      </c>
      <c r="H18" s="100">
        <f>RETETA!B257</f>
        <v>0</v>
      </c>
      <c r="I18" s="100">
        <f>RETETA!D257</f>
        <v>0.25</v>
      </c>
      <c r="J18" s="100">
        <f>RETETA!E257</f>
        <v>0.2</v>
      </c>
      <c r="K18" s="102">
        <f>RETETA!L269</f>
        <v>8.5754166666666652E-3</v>
      </c>
      <c r="L18" s="102">
        <f>RETETA!N269</f>
        <v>1.0290499999999998E-2</v>
      </c>
      <c r="M18" s="103">
        <f t="shared" si="0"/>
        <v>10.290499999999998</v>
      </c>
      <c r="N18" s="104"/>
      <c r="O18" s="105">
        <f>ProgramCalcul!AL26</f>
        <v>0</v>
      </c>
      <c r="P18" s="106">
        <f t="shared" si="1"/>
        <v>0</v>
      </c>
    </row>
    <row r="19" spans="1:16" ht="19.5" customHeight="1" x14ac:dyDescent="0.25">
      <c r="A19" s="97">
        <v>15</v>
      </c>
      <c r="B19" s="98" t="str">
        <f>RETETA!D271</f>
        <v>ART15</v>
      </c>
      <c r="C19" s="98" t="str">
        <f>RETETA!F271</f>
        <v>Articol 15</v>
      </c>
      <c r="D19" s="98" t="str">
        <f>RETETA!E275</f>
        <v>GD RO 250</v>
      </c>
      <c r="E19" s="99">
        <f>RETETA!I273</f>
        <v>100000</v>
      </c>
      <c r="F19" s="100">
        <f>RETETA!J273</f>
        <v>0.03</v>
      </c>
      <c r="G19" s="101">
        <f>RETETA!G283</f>
        <v>0</v>
      </c>
      <c r="H19" s="100">
        <f>RETETA!B273</f>
        <v>0</v>
      </c>
      <c r="I19" s="100">
        <f>RETETA!D273</f>
        <v>0.25</v>
      </c>
      <c r="J19" s="100">
        <f>RETETA!E273</f>
        <v>0.2</v>
      </c>
      <c r="K19" s="102">
        <f>RETETA!L285</f>
        <v>8.5754166666666652E-3</v>
      </c>
      <c r="L19" s="102">
        <f>RETETA!N285</f>
        <v>1.0290499999999998E-2</v>
      </c>
      <c r="M19" s="103">
        <f t="shared" si="0"/>
        <v>10.290499999999998</v>
      </c>
      <c r="N19" s="104"/>
      <c r="O19" s="105">
        <f>ProgramCalcul!AL27</f>
        <v>0</v>
      </c>
      <c r="P19" s="106">
        <f t="shared" si="1"/>
        <v>0</v>
      </c>
    </row>
    <row r="20" spans="1:16" ht="19.5" customHeight="1" x14ac:dyDescent="0.25">
      <c r="A20" s="154"/>
      <c r="B20" s="154"/>
      <c r="C20" s="154"/>
      <c r="D20" s="154"/>
      <c r="E20" s="154"/>
      <c r="F20" s="154"/>
      <c r="G20" s="154"/>
      <c r="H20" s="154"/>
      <c r="I20" s="154"/>
      <c r="J20" s="154"/>
      <c r="K20" s="108"/>
      <c r="L20" s="108"/>
      <c r="M20" s="108"/>
      <c r="N20" s="109"/>
      <c r="O20" s="108"/>
      <c r="P20" s="108"/>
    </row>
    <row r="22" spans="1:16" ht="13.5" customHeight="1" x14ac:dyDescent="0.25">
      <c r="A22" s="110" t="s">
        <v>194</v>
      </c>
    </row>
  </sheetData>
  <mergeCells count="3">
    <mergeCell ref="A1:L1"/>
    <mergeCell ref="A2:L2"/>
    <mergeCell ref="A20:J20"/>
  </mergeCells>
  <conditionalFormatting sqref="N5:P19">
    <cfRule type="expression" dxfId="2" priority="2">
      <formula>$G5=0</formula>
    </cfRule>
  </conditionalFormatting>
  <conditionalFormatting sqref="M5:M19">
    <cfRule type="expression" dxfId="1" priority="3">
      <formula>$G5=0</formula>
    </cfRule>
  </conditionalFormatting>
  <conditionalFormatting sqref="B5:L19">
    <cfRule type="expression" dxfId="0" priority="4">
      <formula>$G5=0</formula>
    </cfRule>
  </conditionalFormatting>
  <hyperlinks>
    <hyperlink ref="A22" location="RETETA!A1" display="→ Deschide RETETA pentru calcul detaliat pe un singur articol" xr:uid="{00000000-0004-0000-0200-000000000000}"/>
  </hyperlinks>
  <pageMargins left="0.75" right="0.75" top="1" bottom="1" header="0.511811023622047" footer="0.511811023622047"/>
  <pageSetup paperSize="9"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DEADA"/>
  </sheetPr>
  <dimension ref="A1:J38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21" sqref="L21"/>
    </sheetView>
  </sheetViews>
  <sheetFormatPr defaultColWidth="8.7109375" defaultRowHeight="15" x14ac:dyDescent="0.25"/>
  <cols>
    <col min="1" max="1" width="4" customWidth="1"/>
    <col min="2" max="2" width="18" customWidth="1"/>
    <col min="3" max="4" width="14" customWidth="1"/>
    <col min="5" max="6" width="12" customWidth="1"/>
    <col min="7" max="9" width="10" customWidth="1"/>
    <col min="10" max="10" width="12" customWidth="1"/>
  </cols>
  <sheetData>
    <row r="1" spans="1:10" ht="30" customHeight="1" x14ac:dyDescent="0.25">
      <c r="A1" s="161" t="s">
        <v>195</v>
      </c>
      <c r="B1" s="161"/>
      <c r="C1" s="161"/>
      <c r="D1" s="161"/>
      <c r="E1" s="161"/>
      <c r="F1" s="161"/>
      <c r="G1" s="161"/>
      <c r="H1" s="161"/>
      <c r="I1" s="161"/>
      <c r="J1" s="161"/>
    </row>
    <row r="2" spans="1:10" ht="7.5" customHeight="1" x14ac:dyDescent="0.25"/>
    <row r="3" spans="1:10" ht="39.75" customHeight="1" x14ac:dyDescent="0.25">
      <c r="A3" s="92" t="s">
        <v>115</v>
      </c>
      <c r="B3" s="92" t="s">
        <v>196</v>
      </c>
      <c r="C3" s="92" t="s">
        <v>197</v>
      </c>
      <c r="D3" s="92" t="s">
        <v>198</v>
      </c>
      <c r="E3" s="92" t="s">
        <v>199</v>
      </c>
      <c r="F3" s="92" t="s">
        <v>105</v>
      </c>
      <c r="G3" s="92" t="s">
        <v>200</v>
      </c>
      <c r="H3" s="92" t="s">
        <v>201</v>
      </c>
      <c r="I3" s="92" t="s">
        <v>202</v>
      </c>
      <c r="J3" s="92" t="s">
        <v>203</v>
      </c>
    </row>
    <row r="4" spans="1:10" ht="16.5" customHeight="1" x14ac:dyDescent="0.25">
      <c r="A4" s="111">
        <v>1</v>
      </c>
      <c r="B4" s="112" t="s">
        <v>204</v>
      </c>
      <c r="C4" s="113">
        <f>$E$4*$F$4/3600</f>
        <v>6.9444444444444441E-3</v>
      </c>
      <c r="D4" s="113">
        <f t="shared" ref="D4:D37" si="0">C4*J4</f>
        <v>3.4722222222222224E-2</v>
      </c>
      <c r="E4" s="114">
        <v>5</v>
      </c>
      <c r="F4" s="115">
        <v>5</v>
      </c>
      <c r="G4" s="114">
        <v>2</v>
      </c>
      <c r="H4" s="114">
        <v>0.2</v>
      </c>
      <c r="I4" s="114"/>
      <c r="J4" s="114">
        <v>5</v>
      </c>
    </row>
    <row r="5" spans="1:10" ht="16.5" customHeight="1" x14ac:dyDescent="0.25">
      <c r="A5" s="111">
        <v>2</v>
      </c>
      <c r="B5" s="112" t="s">
        <v>205</v>
      </c>
      <c r="C5" s="113">
        <f>$E$5*$F$5/3600</f>
        <v>2.7777777777777779E-3</v>
      </c>
      <c r="D5" s="113">
        <f t="shared" si="0"/>
        <v>5.5555555555555558E-3</v>
      </c>
      <c r="E5" s="114">
        <v>2</v>
      </c>
      <c r="F5" s="115">
        <v>5</v>
      </c>
      <c r="G5" s="114">
        <v>1</v>
      </c>
      <c r="H5" s="114">
        <f>$AJ$3</f>
        <v>0</v>
      </c>
      <c r="I5" s="114"/>
      <c r="J5" s="114">
        <v>2</v>
      </c>
    </row>
    <row r="6" spans="1:10" ht="16.5" customHeight="1" x14ac:dyDescent="0.25">
      <c r="A6" s="111">
        <v>3</v>
      </c>
      <c r="B6" s="112" t="s">
        <v>206</v>
      </c>
      <c r="C6" s="113">
        <f>$E$6*$F$6/3600</f>
        <v>2.7777777777777779E-3</v>
      </c>
      <c r="D6" s="113">
        <f t="shared" si="0"/>
        <v>5.5555555555555558E-3</v>
      </c>
      <c r="E6" s="114">
        <v>2</v>
      </c>
      <c r="F6" s="115">
        <v>5</v>
      </c>
      <c r="G6" s="114">
        <v>1</v>
      </c>
      <c r="H6" s="114">
        <f>$AJ$3</f>
        <v>0</v>
      </c>
      <c r="I6" s="114"/>
      <c r="J6" s="114">
        <v>2</v>
      </c>
    </row>
    <row r="7" spans="1:10" ht="16.5" customHeight="1" x14ac:dyDescent="0.25">
      <c r="A7" s="111">
        <v>4</v>
      </c>
      <c r="B7" s="112" t="s">
        <v>207</v>
      </c>
      <c r="C7" s="113">
        <f>$E$7*$F$7/3600</f>
        <v>2.7777777777777779E-3</v>
      </c>
      <c r="D7" s="113">
        <f t="shared" si="0"/>
        <v>5.5555555555555558E-3</v>
      </c>
      <c r="E7" s="114">
        <v>2</v>
      </c>
      <c r="F7" s="115">
        <v>5</v>
      </c>
      <c r="G7" s="114">
        <v>1</v>
      </c>
      <c r="H7" s="114">
        <f>$AJ$3</f>
        <v>0</v>
      </c>
      <c r="I7" s="114"/>
      <c r="J7" s="114">
        <v>2</v>
      </c>
    </row>
    <row r="8" spans="1:10" ht="16.5" customHeight="1" x14ac:dyDescent="0.25">
      <c r="A8" s="111">
        <v>5</v>
      </c>
      <c r="B8" s="112" t="s">
        <v>208</v>
      </c>
      <c r="C8" s="113">
        <f>$E$8*$F$8/3600</f>
        <v>2.7777777777777779E-3</v>
      </c>
      <c r="D8" s="113">
        <f t="shared" si="0"/>
        <v>5.5555555555555558E-3</v>
      </c>
      <c r="E8" s="114">
        <v>2</v>
      </c>
      <c r="F8" s="115">
        <v>5</v>
      </c>
      <c r="G8" s="114">
        <v>1</v>
      </c>
      <c r="H8" s="114">
        <v>0</v>
      </c>
      <c r="I8" s="114"/>
      <c r="J8" s="114">
        <v>2</v>
      </c>
    </row>
    <row r="9" spans="1:10" ht="16.5" customHeight="1" x14ac:dyDescent="0.25">
      <c r="A9" s="111">
        <v>6</v>
      </c>
      <c r="B9" s="112" t="s">
        <v>209</v>
      </c>
      <c r="C9" s="113">
        <f>$E$9*$F$9/3600</f>
        <v>2.7777777777777779E-3</v>
      </c>
      <c r="D9" s="113">
        <f t="shared" si="0"/>
        <v>8.3333333333333332E-3</v>
      </c>
      <c r="E9" s="114">
        <v>2</v>
      </c>
      <c r="F9" s="115">
        <v>5</v>
      </c>
      <c r="G9" s="114">
        <v>1</v>
      </c>
      <c r="H9" s="114">
        <v>0</v>
      </c>
      <c r="I9" s="114"/>
      <c r="J9" s="114">
        <v>3</v>
      </c>
    </row>
    <row r="10" spans="1:10" ht="16.5" customHeight="1" x14ac:dyDescent="0.25">
      <c r="A10" s="111">
        <v>7</v>
      </c>
      <c r="B10" s="112" t="s">
        <v>85</v>
      </c>
      <c r="C10" s="113">
        <f>$E$10*$F$10/3600</f>
        <v>4.1666666666666666E-3</v>
      </c>
      <c r="D10" s="113">
        <f t="shared" si="0"/>
        <v>8.3333333333333329E-2</v>
      </c>
      <c r="E10" s="114">
        <v>3</v>
      </c>
      <c r="F10" s="115">
        <v>5</v>
      </c>
      <c r="G10" s="114">
        <v>1</v>
      </c>
      <c r="H10" s="114">
        <v>0.2</v>
      </c>
      <c r="I10" s="114"/>
      <c r="J10" s="114">
        <v>20</v>
      </c>
    </row>
    <row r="11" spans="1:10" ht="16.5" customHeight="1" x14ac:dyDescent="0.25">
      <c r="A11" s="111">
        <v>8</v>
      </c>
      <c r="B11" s="112" t="s">
        <v>210</v>
      </c>
      <c r="C11" s="113">
        <f>$E$11*$F$11/3600</f>
        <v>4.1666666666666666E-3</v>
      </c>
      <c r="D11" s="113">
        <f t="shared" si="0"/>
        <v>8.3333333333333329E-2</v>
      </c>
      <c r="E11" s="114">
        <v>3</v>
      </c>
      <c r="F11" s="115">
        <v>5</v>
      </c>
      <c r="G11" s="114">
        <v>1</v>
      </c>
      <c r="H11" s="114">
        <v>0</v>
      </c>
      <c r="I11" s="114"/>
      <c r="J11" s="114">
        <v>20</v>
      </c>
    </row>
    <row r="12" spans="1:10" ht="16.5" customHeight="1" x14ac:dyDescent="0.25">
      <c r="A12" s="111">
        <v>9</v>
      </c>
      <c r="B12" s="112" t="s">
        <v>211</v>
      </c>
      <c r="C12" s="113">
        <f>$E$12*$F$12/3600</f>
        <v>4.1666666666666666E-3</v>
      </c>
      <c r="D12" s="113">
        <f t="shared" si="0"/>
        <v>8.3333333333333329E-2</v>
      </c>
      <c r="E12" s="114">
        <v>3</v>
      </c>
      <c r="F12" s="115">
        <v>5</v>
      </c>
      <c r="G12" s="114">
        <v>1</v>
      </c>
      <c r="H12" s="114">
        <v>0</v>
      </c>
      <c r="I12" s="114"/>
      <c r="J12" s="114">
        <v>20</v>
      </c>
    </row>
    <row r="13" spans="1:10" ht="16.5" customHeight="1" x14ac:dyDescent="0.25">
      <c r="A13" s="111">
        <v>10</v>
      </c>
      <c r="B13" s="112" t="s">
        <v>212</v>
      </c>
      <c r="C13" s="113">
        <f>$E$13*$F$13/3600</f>
        <v>4.1666666666666666E-3</v>
      </c>
      <c r="D13" s="113">
        <f t="shared" si="0"/>
        <v>8.3333333333333329E-2</v>
      </c>
      <c r="E13" s="114">
        <v>3</v>
      </c>
      <c r="F13" s="115">
        <v>5</v>
      </c>
      <c r="G13" s="114">
        <v>1</v>
      </c>
      <c r="H13" s="114">
        <v>0</v>
      </c>
      <c r="I13" s="114"/>
      <c r="J13" s="114">
        <v>20</v>
      </c>
    </row>
    <row r="14" spans="1:10" ht="16.5" customHeight="1" x14ac:dyDescent="0.25">
      <c r="A14" s="111">
        <v>11</v>
      </c>
      <c r="B14" s="112" t="s">
        <v>213</v>
      </c>
      <c r="C14" s="113">
        <f>$E$14*$F$14/3600</f>
        <v>2.7777777777777779E-3</v>
      </c>
      <c r="D14" s="113">
        <f t="shared" si="0"/>
        <v>2.777777777777778E-2</v>
      </c>
      <c r="E14" s="114">
        <v>2</v>
      </c>
      <c r="F14" s="115">
        <v>5</v>
      </c>
      <c r="G14" s="114">
        <v>2</v>
      </c>
      <c r="H14" s="114">
        <v>0</v>
      </c>
      <c r="I14" s="114"/>
      <c r="J14" s="114">
        <v>10</v>
      </c>
    </row>
    <row r="15" spans="1:10" ht="16.5" customHeight="1" x14ac:dyDescent="0.25">
      <c r="A15" s="111">
        <v>12</v>
      </c>
      <c r="B15" s="112" t="s">
        <v>214</v>
      </c>
      <c r="C15" s="113">
        <f>$E$15*$F$15/3600</f>
        <v>2.7777777777777779E-3</v>
      </c>
      <c r="D15" s="113">
        <f t="shared" si="0"/>
        <v>2.777777777777778E-2</v>
      </c>
      <c r="E15" s="114">
        <v>2</v>
      </c>
      <c r="F15" s="115">
        <v>5</v>
      </c>
      <c r="G15" s="114">
        <v>2</v>
      </c>
      <c r="H15" s="114">
        <v>0</v>
      </c>
      <c r="I15" s="114"/>
      <c r="J15" s="114">
        <v>10</v>
      </c>
    </row>
    <row r="16" spans="1:10" ht="16.5" customHeight="1" x14ac:dyDescent="0.25">
      <c r="A16" s="111">
        <v>13</v>
      </c>
      <c r="B16" s="112" t="s">
        <v>215</v>
      </c>
      <c r="C16" s="113">
        <f>$E$16*$F$16/3600</f>
        <v>2.7777777777777779E-3</v>
      </c>
      <c r="D16" s="113">
        <f t="shared" si="0"/>
        <v>8.3333333333333332E-3</v>
      </c>
      <c r="E16" s="114">
        <v>2</v>
      </c>
      <c r="F16" s="115">
        <v>5</v>
      </c>
      <c r="G16" s="114">
        <v>1</v>
      </c>
      <c r="H16" s="114">
        <v>0</v>
      </c>
      <c r="I16" s="114"/>
      <c r="J16" s="114">
        <v>3</v>
      </c>
    </row>
    <row r="17" spans="1:10" ht="16.5" customHeight="1" x14ac:dyDescent="0.25">
      <c r="A17" s="111">
        <v>14</v>
      </c>
      <c r="B17" s="112" t="s">
        <v>113</v>
      </c>
      <c r="C17" s="113">
        <f>$E$17*$F$17/3600</f>
        <v>2.7777777777777779E-3</v>
      </c>
      <c r="D17" s="113">
        <f t="shared" si="0"/>
        <v>8.3333333333333332E-3</v>
      </c>
      <c r="E17" s="114">
        <v>2</v>
      </c>
      <c r="F17" s="115">
        <v>5</v>
      </c>
      <c r="G17" s="114">
        <v>1</v>
      </c>
      <c r="H17" s="114">
        <v>0</v>
      </c>
      <c r="I17" s="114"/>
      <c r="J17" s="114">
        <v>3</v>
      </c>
    </row>
    <row r="18" spans="1:10" ht="16.5" customHeight="1" x14ac:dyDescent="0.25">
      <c r="A18" s="111">
        <v>15</v>
      </c>
      <c r="B18" s="112" t="s">
        <v>216</v>
      </c>
      <c r="C18" s="113">
        <f>$E$18*$F$18/3600</f>
        <v>2.7777777777777779E-3</v>
      </c>
      <c r="D18" s="113">
        <f t="shared" si="0"/>
        <v>8.3333333333333332E-3</v>
      </c>
      <c r="E18" s="114">
        <v>2</v>
      </c>
      <c r="F18" s="115">
        <v>5</v>
      </c>
      <c r="G18" s="114">
        <v>1</v>
      </c>
      <c r="H18" s="114">
        <v>0</v>
      </c>
      <c r="I18" s="114"/>
      <c r="J18" s="114">
        <v>3</v>
      </c>
    </row>
    <row r="19" spans="1:10" ht="16.5" customHeight="1" x14ac:dyDescent="0.25">
      <c r="A19" s="111">
        <v>16</v>
      </c>
      <c r="B19" s="112" t="s">
        <v>217</v>
      </c>
      <c r="C19" s="113">
        <f>$E$19*$F$19/3600</f>
        <v>2.7777777777777779E-3</v>
      </c>
      <c r="D19" s="113">
        <f t="shared" si="0"/>
        <v>8.3333333333333332E-3</v>
      </c>
      <c r="E19" s="114">
        <v>2</v>
      </c>
      <c r="F19" s="115">
        <v>5</v>
      </c>
      <c r="G19" s="114">
        <v>1</v>
      </c>
      <c r="H19" s="114">
        <v>0</v>
      </c>
      <c r="I19" s="114"/>
      <c r="J19" s="114">
        <v>3</v>
      </c>
    </row>
    <row r="20" spans="1:10" ht="16.5" customHeight="1" x14ac:dyDescent="0.25">
      <c r="A20" s="111">
        <v>17</v>
      </c>
      <c r="B20" s="112" t="s">
        <v>218</v>
      </c>
      <c r="C20" s="113">
        <f>$E$20*$F$20/3600</f>
        <v>2.7777777777777779E-3</v>
      </c>
      <c r="D20" s="113">
        <f t="shared" si="0"/>
        <v>8.3333333333333332E-3</v>
      </c>
      <c r="E20" s="114">
        <v>2</v>
      </c>
      <c r="F20" s="115">
        <v>5</v>
      </c>
      <c r="G20" s="114">
        <v>1</v>
      </c>
      <c r="H20" s="114">
        <v>0</v>
      </c>
      <c r="I20" s="114"/>
      <c r="J20" s="114">
        <v>3</v>
      </c>
    </row>
    <row r="21" spans="1:10" ht="16.5" customHeight="1" x14ac:dyDescent="0.25">
      <c r="A21" s="111">
        <v>18</v>
      </c>
      <c r="B21" s="112" t="s">
        <v>183</v>
      </c>
      <c r="C21" s="113">
        <f>$E$21*$F$21/3600</f>
        <v>2.7777777777777779E-3</v>
      </c>
      <c r="D21" s="113">
        <f t="shared" si="0"/>
        <v>8.3333333333333332E-3</v>
      </c>
      <c r="E21" s="114">
        <v>2</v>
      </c>
      <c r="F21" s="115">
        <v>5</v>
      </c>
      <c r="G21" s="114">
        <v>1</v>
      </c>
      <c r="H21" s="114">
        <v>0</v>
      </c>
      <c r="I21" s="114"/>
      <c r="J21" s="114">
        <v>3</v>
      </c>
    </row>
    <row r="22" spans="1:10" ht="16.5" customHeight="1" x14ac:dyDescent="0.25">
      <c r="A22" s="111">
        <v>19</v>
      </c>
      <c r="B22" s="112" t="s">
        <v>219</v>
      </c>
      <c r="C22" s="113">
        <f>$E$22*$F$22/3600</f>
        <v>2.7777777777777779E-3</v>
      </c>
      <c r="D22" s="113">
        <f t="shared" si="0"/>
        <v>8.3333333333333332E-3</v>
      </c>
      <c r="E22" s="114">
        <v>2</v>
      </c>
      <c r="F22" s="115">
        <v>5</v>
      </c>
      <c r="G22" s="114">
        <v>1</v>
      </c>
      <c r="H22" s="114">
        <v>0</v>
      </c>
      <c r="I22" s="114"/>
      <c r="J22" s="114">
        <v>3</v>
      </c>
    </row>
    <row r="23" spans="1:10" ht="16.5" customHeight="1" x14ac:dyDescent="0.25">
      <c r="A23" s="111">
        <v>20</v>
      </c>
      <c r="B23" s="112" t="s">
        <v>220</v>
      </c>
      <c r="C23" s="113">
        <f>$E$23*$F$23/3600</f>
        <v>4.1666666666666666E-3</v>
      </c>
      <c r="D23" s="113">
        <f t="shared" si="0"/>
        <v>2.0833333333333332E-2</v>
      </c>
      <c r="E23" s="114">
        <v>3</v>
      </c>
      <c r="F23" s="115">
        <v>5</v>
      </c>
      <c r="G23" s="114">
        <v>1</v>
      </c>
      <c r="H23" s="114">
        <v>0</v>
      </c>
      <c r="I23" s="114"/>
      <c r="J23" s="114">
        <v>5</v>
      </c>
    </row>
    <row r="24" spans="1:10" ht="16.5" customHeight="1" x14ac:dyDescent="0.25">
      <c r="A24" s="111">
        <v>21</v>
      </c>
      <c r="B24" s="112" t="s">
        <v>221</v>
      </c>
      <c r="C24" s="113">
        <f>$E$24*$F$24/3600</f>
        <v>4.1666666666666666E-3</v>
      </c>
      <c r="D24" s="113">
        <f t="shared" si="0"/>
        <v>1.2500000000000001E-2</v>
      </c>
      <c r="E24" s="114">
        <v>3</v>
      </c>
      <c r="F24" s="115">
        <v>5</v>
      </c>
      <c r="G24" s="114">
        <v>1</v>
      </c>
      <c r="H24" s="114">
        <v>0</v>
      </c>
      <c r="I24" s="114"/>
      <c r="J24" s="114">
        <v>3</v>
      </c>
    </row>
    <row r="25" spans="1:10" ht="16.5" customHeight="1" x14ac:dyDescent="0.25">
      <c r="A25" s="111">
        <v>22</v>
      </c>
      <c r="B25" s="112" t="s">
        <v>222</v>
      </c>
      <c r="C25" s="113">
        <f>$E$25*$F$25/3600</f>
        <v>4.1666666666666666E-3</v>
      </c>
      <c r="D25" s="113">
        <f t="shared" si="0"/>
        <v>1.2500000000000001E-2</v>
      </c>
      <c r="E25" s="114">
        <v>3</v>
      </c>
      <c r="F25" s="115">
        <v>5</v>
      </c>
      <c r="G25" s="114">
        <v>1</v>
      </c>
      <c r="H25" s="114">
        <v>0</v>
      </c>
      <c r="I25" s="114"/>
      <c r="J25" s="114">
        <v>3</v>
      </c>
    </row>
    <row r="26" spans="1:10" ht="16.5" customHeight="1" x14ac:dyDescent="0.25">
      <c r="A26" s="111">
        <v>23</v>
      </c>
      <c r="B26" s="112" t="s">
        <v>223</v>
      </c>
      <c r="C26" s="113">
        <f>$E$26*$F$26/3600</f>
        <v>4.1666666666666666E-3</v>
      </c>
      <c r="D26" s="113">
        <f t="shared" si="0"/>
        <v>1.2500000000000001E-2</v>
      </c>
      <c r="E26" s="114">
        <v>3</v>
      </c>
      <c r="F26" s="115">
        <v>5</v>
      </c>
      <c r="G26" s="114">
        <v>1</v>
      </c>
      <c r="H26" s="114">
        <v>0</v>
      </c>
      <c r="I26" s="114"/>
      <c r="J26" s="114">
        <v>3</v>
      </c>
    </row>
    <row r="27" spans="1:10" ht="16.5" customHeight="1" x14ac:dyDescent="0.25">
      <c r="A27" s="111">
        <v>24</v>
      </c>
      <c r="B27" s="112" t="s">
        <v>224</v>
      </c>
      <c r="C27" s="113">
        <f>$E$27*$F$27/3600</f>
        <v>4.1666666666666666E-3</v>
      </c>
      <c r="D27" s="113">
        <f t="shared" si="0"/>
        <v>1.2500000000000001E-2</v>
      </c>
      <c r="E27" s="114">
        <v>3</v>
      </c>
      <c r="F27" s="115">
        <v>5</v>
      </c>
      <c r="G27" s="114">
        <v>1</v>
      </c>
      <c r="H27" s="114">
        <v>0</v>
      </c>
      <c r="I27" s="114"/>
      <c r="J27" s="114">
        <v>3</v>
      </c>
    </row>
    <row r="28" spans="1:10" ht="16.5" customHeight="1" x14ac:dyDescent="0.25">
      <c r="A28" s="111">
        <v>25</v>
      </c>
      <c r="B28" s="112" t="s">
        <v>225</v>
      </c>
      <c r="C28" s="113">
        <f>$E$28*$F$28/3600</f>
        <v>4.1666666666666666E-3</v>
      </c>
      <c r="D28" s="113">
        <f t="shared" si="0"/>
        <v>9.166666666666666E-2</v>
      </c>
      <c r="E28" s="114">
        <v>3</v>
      </c>
      <c r="F28" s="115">
        <v>5</v>
      </c>
      <c r="G28" s="114">
        <v>1</v>
      </c>
      <c r="H28" s="114">
        <v>0</v>
      </c>
      <c r="I28" s="114"/>
      <c r="J28" s="114">
        <v>22</v>
      </c>
    </row>
    <row r="29" spans="1:10" ht="16.5" customHeight="1" x14ac:dyDescent="0.25">
      <c r="A29" s="111">
        <v>26</v>
      </c>
      <c r="B29" s="112" t="s">
        <v>159</v>
      </c>
      <c r="C29" s="113">
        <f>$E$29*$F$29/3600</f>
        <v>1.3888888888888888E-2</v>
      </c>
      <c r="D29" s="113">
        <f t="shared" si="0"/>
        <v>4.1666666666666664E-2</v>
      </c>
      <c r="E29" s="114">
        <v>10</v>
      </c>
      <c r="F29" s="115">
        <v>5</v>
      </c>
      <c r="G29" s="114">
        <v>2</v>
      </c>
      <c r="H29" s="114">
        <v>0</v>
      </c>
      <c r="I29" s="114"/>
      <c r="J29" s="114">
        <v>3</v>
      </c>
    </row>
    <row r="30" spans="1:10" ht="16.5" customHeight="1" x14ac:dyDescent="0.25">
      <c r="A30" s="111">
        <v>27</v>
      </c>
      <c r="B30" s="112" t="s">
        <v>226</v>
      </c>
      <c r="C30" s="113">
        <f>$E$30*$F$30/3600</f>
        <v>1.3888888888888888E-2</v>
      </c>
      <c r="D30" s="113">
        <f t="shared" si="0"/>
        <v>4.1666666666666664E-2</v>
      </c>
      <c r="E30" s="114">
        <v>10</v>
      </c>
      <c r="F30" s="115">
        <v>5</v>
      </c>
      <c r="G30" s="114">
        <v>2</v>
      </c>
      <c r="H30" s="114">
        <v>0</v>
      </c>
      <c r="I30" s="114"/>
      <c r="J30" s="114">
        <v>3</v>
      </c>
    </row>
    <row r="31" spans="1:10" ht="16.5" customHeight="1" x14ac:dyDescent="0.25">
      <c r="A31" s="111">
        <v>28</v>
      </c>
      <c r="B31" s="112" t="s">
        <v>227</v>
      </c>
      <c r="C31" s="113">
        <f>$E$31*$F$31/3600</f>
        <v>2.7777777777777776E-2</v>
      </c>
      <c r="D31" s="113">
        <f t="shared" si="0"/>
        <v>0.1388888888888889</v>
      </c>
      <c r="E31" s="114">
        <v>20</v>
      </c>
      <c r="F31" s="115">
        <v>5</v>
      </c>
      <c r="G31" s="114">
        <v>2</v>
      </c>
      <c r="H31" s="114">
        <v>0</v>
      </c>
      <c r="I31" s="114"/>
      <c r="J31" s="114">
        <v>5</v>
      </c>
    </row>
    <row r="32" spans="1:10" ht="16.5" customHeight="1" x14ac:dyDescent="0.25">
      <c r="A32" s="111">
        <v>29</v>
      </c>
      <c r="B32" s="112" t="s">
        <v>228</v>
      </c>
      <c r="C32" s="113">
        <f>$E$32*$F$32/3600</f>
        <v>2.7777777777777779E-3</v>
      </c>
      <c r="D32" s="113">
        <f t="shared" si="0"/>
        <v>5.5555555555555558E-3</v>
      </c>
      <c r="E32" s="114">
        <v>2</v>
      </c>
      <c r="F32" s="115">
        <v>5</v>
      </c>
      <c r="G32" s="114">
        <v>1</v>
      </c>
      <c r="H32" s="114">
        <v>0</v>
      </c>
      <c r="I32" s="114"/>
      <c r="J32" s="114">
        <v>2</v>
      </c>
    </row>
    <row r="33" spans="1:10" ht="16.5" customHeight="1" x14ac:dyDescent="0.25">
      <c r="A33" s="111">
        <v>30</v>
      </c>
      <c r="B33" s="112" t="s">
        <v>229</v>
      </c>
      <c r="C33" s="113">
        <f>$E$33*$F$33/3600</f>
        <v>2.7777777777777779E-3</v>
      </c>
      <c r="D33" s="113">
        <f t="shared" si="0"/>
        <v>6.1111111111111116E-2</v>
      </c>
      <c r="E33" s="114">
        <v>2</v>
      </c>
      <c r="F33" s="115">
        <v>5</v>
      </c>
      <c r="G33" s="114">
        <v>1</v>
      </c>
      <c r="H33" s="114">
        <v>0</v>
      </c>
      <c r="I33" s="114"/>
      <c r="J33" s="114">
        <v>22</v>
      </c>
    </row>
    <row r="34" spans="1:10" ht="16.5" customHeight="1" x14ac:dyDescent="0.25">
      <c r="A34" s="111">
        <v>31</v>
      </c>
      <c r="B34" s="112" t="s">
        <v>230</v>
      </c>
      <c r="C34" s="113">
        <f>$E$34*$F$34/3600</f>
        <v>1.3888888888888888E-2</v>
      </c>
      <c r="D34" s="113">
        <f t="shared" si="0"/>
        <v>0.30555555555555552</v>
      </c>
      <c r="E34" s="114">
        <v>10</v>
      </c>
      <c r="F34" s="115">
        <v>5</v>
      </c>
      <c r="G34" s="114">
        <v>1</v>
      </c>
      <c r="H34" s="114">
        <v>0</v>
      </c>
      <c r="I34" s="114">
        <v>0.4</v>
      </c>
      <c r="J34" s="114">
        <v>22</v>
      </c>
    </row>
    <row r="35" spans="1:10" ht="16.5" customHeight="1" x14ac:dyDescent="0.25">
      <c r="A35" s="111">
        <v>32</v>
      </c>
      <c r="B35" s="112" t="s">
        <v>231</v>
      </c>
      <c r="C35" s="113">
        <f>$E$35*$F$35/3600</f>
        <v>1.3888888888888888E-2</v>
      </c>
      <c r="D35" s="113">
        <f t="shared" si="0"/>
        <v>0.30555555555555552</v>
      </c>
      <c r="E35" s="114">
        <v>10</v>
      </c>
      <c r="F35" s="115">
        <v>5</v>
      </c>
      <c r="G35" s="114">
        <v>1</v>
      </c>
      <c r="H35" s="114">
        <v>0</v>
      </c>
      <c r="I35" s="114">
        <v>0.4</v>
      </c>
      <c r="J35" s="114">
        <v>22</v>
      </c>
    </row>
    <row r="36" spans="1:10" ht="16.5" customHeight="1" x14ac:dyDescent="0.25">
      <c r="A36" s="111">
        <v>33</v>
      </c>
      <c r="B36" s="112" t="s">
        <v>161</v>
      </c>
      <c r="C36" s="113">
        <f>$E$36*$F$36/3600</f>
        <v>1.5277777777777777E-2</v>
      </c>
      <c r="D36" s="113">
        <f t="shared" si="0"/>
        <v>4.583333333333333E-2</v>
      </c>
      <c r="E36" s="114">
        <v>11</v>
      </c>
      <c r="F36" s="115">
        <v>5</v>
      </c>
      <c r="G36" s="114">
        <v>1</v>
      </c>
      <c r="H36" s="114">
        <v>0</v>
      </c>
      <c r="I36" s="114"/>
      <c r="J36" s="114">
        <v>3</v>
      </c>
    </row>
    <row r="37" spans="1:10" ht="16.5" customHeight="1" x14ac:dyDescent="0.25">
      <c r="A37" s="111">
        <v>34</v>
      </c>
      <c r="B37" s="112" t="s">
        <v>232</v>
      </c>
      <c r="C37" s="113">
        <f>$E$37*$F$37/3600</f>
        <v>0</v>
      </c>
      <c r="D37" s="113">
        <f t="shared" si="0"/>
        <v>0</v>
      </c>
      <c r="E37" s="114">
        <v>0</v>
      </c>
      <c r="F37" s="115">
        <v>5</v>
      </c>
      <c r="G37" s="114">
        <v>2</v>
      </c>
      <c r="H37" s="114">
        <v>0</v>
      </c>
      <c r="I37" s="114"/>
      <c r="J37" s="114">
        <v>10</v>
      </c>
    </row>
    <row r="38" spans="1:10" ht="16.5" customHeight="1" x14ac:dyDescent="0.25">
      <c r="A38" s="111">
        <v>35</v>
      </c>
      <c r="B38" s="112" t="s">
        <v>114</v>
      </c>
      <c r="C38" s="113">
        <v>0</v>
      </c>
      <c r="D38" s="113">
        <v>0</v>
      </c>
      <c r="E38" s="114">
        <v>0</v>
      </c>
      <c r="F38" s="115">
        <v>5</v>
      </c>
      <c r="G38" s="114">
        <v>0</v>
      </c>
      <c r="H38" s="114">
        <v>0</v>
      </c>
      <c r="I38" s="114">
        <v>0</v>
      </c>
      <c r="J38" s="114">
        <v>0</v>
      </c>
    </row>
  </sheetData>
  <mergeCells count="1">
    <mergeCell ref="A1:J1"/>
  </mergeCells>
  <pageMargins left="0.75" right="0.75" top="1" bottom="1" header="0.511811023622047" footer="0.511811023622047"/>
  <pageSetup paperSize="9"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EBF1DE"/>
  </sheetPr>
  <dimension ref="A1:H37"/>
  <sheetViews>
    <sheetView showGridLines="0" topLeftCell="A7" zoomScaleNormal="100" workbookViewId="0">
      <selection activeCell="G16" sqref="G16"/>
    </sheetView>
  </sheetViews>
  <sheetFormatPr defaultColWidth="8.7109375" defaultRowHeight="15" x14ac:dyDescent="0.25"/>
  <cols>
    <col min="1" max="1" width="3" customWidth="1"/>
    <col min="2" max="2" width="20" customWidth="1"/>
    <col min="3" max="3" width="3" customWidth="1"/>
    <col min="4" max="4" width="10" customWidth="1"/>
    <col min="5" max="5" width="14" customWidth="1"/>
    <col min="6" max="6" width="18" customWidth="1"/>
    <col min="7" max="7" width="14" customWidth="1"/>
    <col min="8" max="8" width="3" customWidth="1"/>
  </cols>
  <sheetData>
    <row r="1" spans="1:8" ht="30" customHeight="1" x14ac:dyDescent="0.25">
      <c r="A1" s="161" t="s">
        <v>233</v>
      </c>
      <c r="B1" s="161"/>
      <c r="C1" s="161"/>
      <c r="D1" s="161"/>
      <c r="E1" s="161"/>
      <c r="F1" s="161"/>
      <c r="G1" s="161"/>
      <c r="H1" s="161"/>
    </row>
    <row r="2" spans="1:8" ht="7.5" customHeight="1" x14ac:dyDescent="0.25"/>
    <row r="3" spans="1:8" ht="18" customHeight="1" x14ac:dyDescent="0.25">
      <c r="B3" s="162" t="s">
        <v>234</v>
      </c>
      <c r="C3" s="162"/>
      <c r="D3" s="1" t="s">
        <v>235</v>
      </c>
      <c r="E3" s="1" t="s">
        <v>236</v>
      </c>
      <c r="F3" s="116" t="s">
        <v>237</v>
      </c>
      <c r="G3" s="116" t="s">
        <v>238</v>
      </c>
    </row>
    <row r="4" spans="1:8" ht="15.75" customHeight="1" x14ac:dyDescent="0.25">
      <c r="B4" s="117" t="s">
        <v>204</v>
      </c>
      <c r="D4" s="118" t="s">
        <v>239</v>
      </c>
      <c r="E4" s="119">
        <v>1</v>
      </c>
      <c r="F4" s="120" t="s">
        <v>240</v>
      </c>
      <c r="G4" s="121">
        <v>1.9</v>
      </c>
    </row>
    <row r="5" spans="1:8" ht="15.75" customHeight="1" x14ac:dyDescent="0.25">
      <c r="B5" s="122" t="s">
        <v>205</v>
      </c>
      <c r="D5" s="123" t="s">
        <v>84</v>
      </c>
      <c r="E5" s="124">
        <v>2</v>
      </c>
      <c r="F5" s="125" t="s">
        <v>241</v>
      </c>
      <c r="G5" s="126">
        <v>2.2000000000000002</v>
      </c>
    </row>
    <row r="6" spans="1:8" ht="15.75" customHeight="1" x14ac:dyDescent="0.25">
      <c r="B6" s="117" t="s">
        <v>206</v>
      </c>
      <c r="D6" s="127"/>
      <c r="E6" s="119">
        <v>3</v>
      </c>
      <c r="F6" s="120" t="s">
        <v>242</v>
      </c>
      <c r="G6" s="121">
        <v>2.2999999999999998</v>
      </c>
    </row>
    <row r="7" spans="1:8" ht="15.75" customHeight="1" x14ac:dyDescent="0.25">
      <c r="B7" s="122" t="s">
        <v>207</v>
      </c>
      <c r="D7" s="128"/>
      <c r="E7" s="124">
        <v>4</v>
      </c>
      <c r="F7" s="125" t="s">
        <v>243</v>
      </c>
      <c r="G7" s="126">
        <v>2.5</v>
      </c>
    </row>
    <row r="8" spans="1:8" ht="15.75" customHeight="1" x14ac:dyDescent="0.25">
      <c r="B8" s="117" t="s">
        <v>208</v>
      </c>
      <c r="D8" s="127"/>
      <c r="E8" s="119">
        <v>5</v>
      </c>
      <c r="F8" s="120" t="s">
        <v>244</v>
      </c>
      <c r="G8" s="121">
        <v>2.7</v>
      </c>
    </row>
    <row r="9" spans="1:8" ht="15.75" customHeight="1" x14ac:dyDescent="0.25">
      <c r="B9" s="122" t="s">
        <v>209</v>
      </c>
      <c r="D9" s="128"/>
      <c r="E9" s="124">
        <v>6</v>
      </c>
      <c r="F9" s="125" t="s">
        <v>245</v>
      </c>
      <c r="G9" s="129" t="s">
        <v>246</v>
      </c>
    </row>
    <row r="10" spans="1:8" ht="15.75" customHeight="1" x14ac:dyDescent="0.25">
      <c r="B10" s="117" t="s">
        <v>85</v>
      </c>
      <c r="D10" s="127"/>
      <c r="E10" s="119">
        <v>7</v>
      </c>
      <c r="F10" s="120" t="s">
        <v>86</v>
      </c>
      <c r="G10" s="121">
        <v>1.76</v>
      </c>
    </row>
    <row r="11" spans="1:8" ht="15.75" customHeight="1" x14ac:dyDescent="0.25">
      <c r="B11" s="122" t="s">
        <v>210</v>
      </c>
      <c r="D11" s="128"/>
      <c r="E11" s="124">
        <v>8</v>
      </c>
      <c r="F11" s="125" t="s">
        <v>247</v>
      </c>
      <c r="G11" s="129">
        <v>2.0499999999999998</v>
      </c>
    </row>
    <row r="12" spans="1:8" ht="15.75" customHeight="1" x14ac:dyDescent="0.25">
      <c r="B12" s="117" t="s">
        <v>211</v>
      </c>
      <c r="D12" s="127"/>
      <c r="E12" s="119">
        <v>9</v>
      </c>
      <c r="F12" s="120" t="s">
        <v>248</v>
      </c>
      <c r="G12" s="121">
        <v>4.5</v>
      </c>
    </row>
    <row r="13" spans="1:8" ht="27.75" customHeight="1" x14ac:dyDescent="0.25">
      <c r="B13" s="122" t="s">
        <v>212</v>
      </c>
      <c r="D13" s="128"/>
      <c r="E13" s="124">
        <v>10</v>
      </c>
      <c r="F13" s="163" t="s">
        <v>249</v>
      </c>
      <c r="G13" s="163"/>
    </row>
    <row r="14" spans="1:8" ht="15.75" customHeight="1" x14ac:dyDescent="0.25">
      <c r="B14" s="117" t="s">
        <v>213</v>
      </c>
      <c r="D14" s="127"/>
      <c r="E14" s="119">
        <v>11</v>
      </c>
    </row>
    <row r="15" spans="1:8" ht="15.75" customHeight="1" x14ac:dyDescent="0.25">
      <c r="B15" s="122" t="s">
        <v>214</v>
      </c>
      <c r="D15" s="128"/>
      <c r="E15" s="124">
        <v>12</v>
      </c>
    </row>
    <row r="16" spans="1:8" ht="15.75" customHeight="1" x14ac:dyDescent="0.25">
      <c r="B16" s="117" t="s">
        <v>215</v>
      </c>
      <c r="D16" s="127"/>
      <c r="E16" s="119">
        <v>13</v>
      </c>
    </row>
    <row r="17" spans="2:5" ht="15.75" customHeight="1" x14ac:dyDescent="0.25">
      <c r="B17" s="122" t="s">
        <v>113</v>
      </c>
      <c r="D17" s="128"/>
      <c r="E17" s="124">
        <v>14</v>
      </c>
    </row>
    <row r="18" spans="2:5" ht="15.75" customHeight="1" x14ac:dyDescent="0.25">
      <c r="B18" s="117" t="s">
        <v>216</v>
      </c>
      <c r="D18" s="127"/>
      <c r="E18" s="119">
        <v>15</v>
      </c>
    </row>
    <row r="19" spans="2:5" ht="15.75" customHeight="1" x14ac:dyDescent="0.25">
      <c r="B19" s="122" t="s">
        <v>217</v>
      </c>
      <c r="D19" s="128"/>
    </row>
    <row r="20" spans="2:5" ht="15.75" customHeight="1" x14ac:dyDescent="0.25">
      <c r="B20" s="117" t="s">
        <v>218</v>
      </c>
      <c r="D20" s="127"/>
    </row>
    <row r="21" spans="2:5" ht="15.75" customHeight="1" x14ac:dyDescent="0.25">
      <c r="B21" s="122" t="s">
        <v>183</v>
      </c>
      <c r="D21" s="128"/>
    </row>
    <row r="22" spans="2:5" ht="15.75" customHeight="1" x14ac:dyDescent="0.25">
      <c r="B22" s="117" t="s">
        <v>219</v>
      </c>
      <c r="D22" s="127"/>
    </row>
    <row r="23" spans="2:5" ht="15.75" customHeight="1" x14ac:dyDescent="0.25">
      <c r="B23" s="122" t="s">
        <v>220</v>
      </c>
      <c r="D23" s="128"/>
    </row>
    <row r="24" spans="2:5" ht="15.75" customHeight="1" x14ac:dyDescent="0.25">
      <c r="B24" s="117" t="s">
        <v>221</v>
      </c>
      <c r="D24" s="127"/>
    </row>
    <row r="25" spans="2:5" ht="15.75" customHeight="1" x14ac:dyDescent="0.25">
      <c r="B25" s="122" t="s">
        <v>222</v>
      </c>
      <c r="D25" s="128"/>
    </row>
    <row r="26" spans="2:5" ht="15.75" customHeight="1" x14ac:dyDescent="0.25">
      <c r="B26" s="117" t="s">
        <v>223</v>
      </c>
      <c r="D26" s="127"/>
    </row>
    <row r="27" spans="2:5" ht="15.75" customHeight="1" x14ac:dyDescent="0.25">
      <c r="B27" s="122" t="s">
        <v>224</v>
      </c>
      <c r="D27" s="128"/>
    </row>
    <row r="28" spans="2:5" ht="15.75" customHeight="1" x14ac:dyDescent="0.25">
      <c r="B28" s="117" t="s">
        <v>225</v>
      </c>
      <c r="D28" s="127"/>
    </row>
    <row r="29" spans="2:5" ht="15.75" customHeight="1" x14ac:dyDescent="0.25">
      <c r="B29" s="122" t="s">
        <v>159</v>
      </c>
      <c r="D29" s="128"/>
    </row>
    <row r="30" spans="2:5" ht="15.75" customHeight="1" x14ac:dyDescent="0.25">
      <c r="B30" s="117" t="s">
        <v>226</v>
      </c>
      <c r="D30" s="127"/>
    </row>
    <row r="31" spans="2:5" ht="15.75" customHeight="1" x14ac:dyDescent="0.25">
      <c r="B31" s="122" t="s">
        <v>227</v>
      </c>
      <c r="D31" s="128"/>
    </row>
    <row r="32" spans="2:5" ht="15.75" customHeight="1" x14ac:dyDescent="0.25">
      <c r="B32" s="117" t="s">
        <v>228</v>
      </c>
      <c r="D32" s="127"/>
    </row>
    <row r="33" spans="2:4" ht="15.75" customHeight="1" x14ac:dyDescent="0.25">
      <c r="B33" s="122" t="s">
        <v>229</v>
      </c>
      <c r="D33" s="128"/>
    </row>
    <row r="34" spans="2:4" ht="15.75" customHeight="1" x14ac:dyDescent="0.25">
      <c r="B34" s="117" t="s">
        <v>230</v>
      </c>
      <c r="D34" s="127"/>
    </row>
    <row r="35" spans="2:4" ht="15.75" customHeight="1" x14ac:dyDescent="0.25">
      <c r="B35" s="122" t="s">
        <v>231</v>
      </c>
      <c r="D35" s="128"/>
    </row>
    <row r="36" spans="2:4" ht="15.75" customHeight="1" x14ac:dyDescent="0.25">
      <c r="B36" s="117" t="s">
        <v>161</v>
      </c>
      <c r="D36" s="127"/>
    </row>
    <row r="37" spans="2:4" ht="15.75" customHeight="1" x14ac:dyDescent="0.25">
      <c r="B37" s="122" t="s">
        <v>232</v>
      </c>
      <c r="D37" s="128"/>
    </row>
  </sheetData>
  <mergeCells count="3">
    <mergeCell ref="A1:H1"/>
    <mergeCell ref="B3:C3"/>
    <mergeCell ref="F13:G13"/>
  </mergeCells>
  <pageMargins left="0.5" right="0.5" top="0.6" bottom="0.6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ProgramCalcul</vt:lpstr>
      <vt:lpstr>RETETA</vt:lpstr>
      <vt:lpstr>CENTRALIZATOR</vt:lpstr>
      <vt:lpstr>Utilaje</vt:lpstr>
      <vt:lpstr>ReferinteTabel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George Bogatu</cp:lastModifiedBy>
  <cp:revision>0</cp:revision>
  <dcterms:created xsi:type="dcterms:W3CDTF">2026-05-03T20:32:55Z</dcterms:created>
  <dcterms:modified xsi:type="dcterms:W3CDTF">2026-07-17T12:20:15Z</dcterms:modified>
  <dc:language>en-US</dc:language>
</cp:coreProperties>
</file>