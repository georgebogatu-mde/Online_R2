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6c6c8180e7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entralizare adezivi" sheetId="1" r:id="R41e4fdafcc374333"/>
    <x:sheet xmlns:r="http://schemas.openxmlformats.org/officeDocument/2006/relationships" name="Rezumat norme" sheetId="2" r:id="R4e889b59cc3e4060"/>
    <x:sheet xmlns:r="http://schemas.openxmlformats.org/officeDocument/2006/relationships" name="Note utilizare" sheetId="3" r:id="Rb08c6c9de8f7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d14ec92a64445c" /><Relationship Type="http://schemas.openxmlformats.org/officeDocument/2006/relationships/theme" Target="/xl/theme/theme1.xml" Id="Rca328bb4296544f2" /><Relationship Type="http://schemas.openxmlformats.org/officeDocument/2006/relationships/sharedStrings" Target="/xl/sharedStrings.xml" Id="R5455253925c04122" /><Relationship Type="http://schemas.openxmlformats.org/officeDocument/2006/relationships/worksheet" Target="/xl/worksheets/sheet1.xml" Id="R41e4fdafcc374333" /><Relationship Type="http://schemas.openxmlformats.org/officeDocument/2006/relationships/worksheet" Target="/xl/worksheets/sheet2.xml" Id="R4e889b59cc3e4060" /><Relationship Type="http://schemas.openxmlformats.org/officeDocument/2006/relationships/worksheet" Target="/xl/worksheets/sheet3.xml" Id="Rb08c6c9de8f74fc9" /></Relationships>
</file>

<file path=xl/tables/table1.xml><?xml version="1.0" encoding="utf-8"?>
<x:table xmlns:x="http://schemas.openxmlformats.org/spreadsheetml/2006/main" id="1" name="NormeAdeziviTable" displayName="NormeAdeziviTable" ref="A1:G22" headerRowCount="1">
  <x:tableColumns count="7">
    <x:tableColumn id="1" name="Nr."/>
    <x:tableColumn id="2" name="Produs"/>
    <x:tableColumn id="3" name="Norme / standarde gasite"/>
    <x:tableColumn id="4" name="Tip standard"/>
    <x:tableColumn id="5" name="Status informatie"/>
    <x:tableColumn id="6" name="Observatii"/>
    <x:tableColumn id="7" name="Sursa / link TDS public"/>
  </x:tableColumns>
  <x:tableStyleInfo name="TableStyleMedium2" showRowStripes="1"/>
</x:table>
</file>

<file path=xl/tables/table2.xml><?xml version="1.0" encoding="utf-8"?>
<x:table xmlns:x="http://schemas.openxmlformats.org/spreadsheetml/2006/main" id="2" name="RezumatStatusTable" displayName="RezumatStatusTable" ref="A1:C5" headerRowCount="1">
  <x:tableColumns count="3">
    <x:tableColumn id="1" name="Categorie"/>
    <x:tableColumn id="2" name="Numar produse"/>
    <x:tableColumn id="3" name="Observatii"/>
  </x:tableColumns>
  <x:tableStyleInfo name="TableStyleMedium2" showRowStripes="1"/>
</x:table>
</file>

<file path=xl/tables/table3.xml><?xml version="1.0" encoding="utf-8"?>
<x:table xmlns:x="http://schemas.openxmlformats.org/spreadsheetml/2006/main" id="3" name="ListaNormeTable" displayName="ListaNormeTable" ref="A8:C31" headerRowCount="1">
  <x:tableColumns count="3">
    <x:tableColumn id="1" name="Norma / standard"/>
    <x:tableColumn id="2" name="Produse unde apare"/>
    <x:tableColumn id="3" name="Numar prod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88325b38a14d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f54c52f87e4fe7" /><Relationship Type="http://schemas.openxmlformats.org/officeDocument/2006/relationships/table" Target="/xl/tables/table3.xml" Id="R657e5be4dd8c40e0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48" hidden="0" customWidth="1"/>
    <x:col min="4" max="4" width="28" hidden="0" customWidth="1"/>
    <x:col min="5" max="5" width="22" hidden="0" customWidth="1"/>
    <x:col min="6" max="6" width="55" hidden="0" customWidth="1"/>
    <x:col min="7" max="7" width="65" hidden="0" customWidth="1"/>
  </x:cols>
  <x:sheetData>
    <x:row r="1">
      <x:c r="A1" s="14" t="str">
        <x:v>Nr.</x:v>
      </x:c>
      <x:c r="B1" s="14" t="str">
        <x:v>Produs</x:v>
      </x:c>
      <x:c r="C1" s="14" t="str">
        <x:v>Norme / standarde gasite</x:v>
      </x:c>
      <x:c r="D1" s="14" t="str">
        <x:v>Tip standard</x:v>
      </x:c>
      <x:c r="E1" s="14" t="str">
        <x:v>Status informatie</x:v>
      </x:c>
      <x:c r="F1" s="14" t="str">
        <x:v>Observatii</x:v>
      </x:c>
      <x:c r="G1" s="14" t="str">
        <x:v>Sursa / link TDS public</x:v>
      </x:c>
    </x:row>
    <x:row r="2">
      <x:c r="A2" s="15" t="n">
        <x:v>1</x:v>
      </x:c>
      <x:c r="B2" s="15" t="str">
        <x:v>ATP S-4212 MF 45/65</x:v>
      </x:c>
      <x:c r="C2" s="15" t="str">
        <x:v>Nu am gasit TDS public complet cu norme</x:v>
      </x:c>
      <x:c r="D2" s="15" t="str">
        <x:v>Necunoscut</x:v>
      </x:c>
      <x:c r="E2" s="15" t="str">
        <x:v>De cerut TDS oficial</x:v>
      </x:c>
      <x:c r="F2" s="15" t="str">
        <x:v>Pagina distribuitor confirma constructia: acrylic, double coated, tissue, paper liner; normele nu sunt publice in datele gasite.</x:v>
      </x:c>
      <x:c r="G2" s="15" t="str">
        <x:v>https://ccttapes.com/upcp_product/s-4212-mf-4565/</x:v>
      </x:c>
    </x:row>
    <x:row r="3">
      <x:c r="A3" s="15" t="n">
        <x:v>2</x:v>
      </x:c>
      <x:c r="B3" s="15" t="str">
        <x:v>3M CT-6348</x:v>
      </x:c>
      <x:c r="C3" s="15" t="str">
        <x:v>ISO 9002; metode standard de testare mentionate in TDS</x:v>
      </x:c>
      <x:c r="D3" s="15" t="str">
        <x:v>Calitate / metode test</x:v>
      </x:c>
      <x:c r="E3" s="15" t="str">
        <x:v>Partial confirmat</x:v>
      </x:c>
      <x:c r="F3" s="15" t="str">
        <x:v>TDS public nu indica norme automotive specifice; ISO 9002 apare in fisa mai veche.</x:v>
      </x:c>
      <x:c r="G3" s="15" t="str">
        <x:v>https://multimedia.3m.com/mws/media/1037766O/double-coated-tape-ct6348-data-sheet.pdf</x:v>
      </x:c>
    </x:row>
    <x:row r="4">
      <x:c r="A4" s="15" t="n">
        <x:v>3</x:v>
      </x:c>
      <x:c r="B4" s="15" t="str">
        <x:v>ATP S-4610 MF</x:v>
      </x:c>
      <x:c r="C4" s="15" t="str">
        <x:v>AFERA 5001; ATP AA-B-12-07; ISO/TS 16949; DIN EN ISO 9001; DIN EN ISO 14001</x:v>
      </x:c>
      <x:c r="D4" s="15" t="str">
        <x:v>Test adeziune; temperatura; calitate/mediu</x:v>
      </x:c>
      <x:c r="E4" s="15" t="str">
        <x:v>Confirmat public</x:v>
      </x:c>
      <x:c r="F4" s="15" t="str">
        <x:v>AFERA 5001 pentru adhesive strength; ATP AA-B-12-07 pentru rezistenta temperatura.</x:v>
      </x:c>
      <x:c r="G4" s="15" t="str">
        <x:v>https://www.special-plast.se/wp-content/uploads/2025/04/S-4610-MF-PO-2023.pdf</x:v>
      </x:c>
    </x:row>
    <x:row r="5">
      <x:c r="A5" s="15" t="n">
        <x:v>4</x:v>
      </x:c>
      <x:c r="B5" s="15" t="str">
        <x:v>3M 99786 / 99786+</x:v>
      </x:c>
      <x:c r="C5" s="15" t="str">
        <x:v>SAE J1756; ASTM D3330; ISO 9001</x:v>
      </x:c>
      <x:c r="D5" s="15" t="str">
        <x:v>Low fog; peel adhesion; calitate</x:v>
      </x:c>
      <x:c r="E5" s="15" t="str">
        <x:v>Confirmat public</x:v>
      </x:c>
      <x:c r="F5" s="15" t="str">
        <x:v>Low Fog per SAE J1756; peel adhesion conform ASTM D3330; fabricare sub sistem ISO 9001.</x:v>
      </x:c>
      <x:c r="G5" s="15" t="str">
        <x:v>https://multimedia.3m.com/mws/media/2386472O/3m-scrim-adhesive-tape-99786.pdf?fn=3M-Scrim-Adhesive-Tape-99786-Plus.pdf</x:v>
      </x:c>
    </x:row>
    <x:row r="6">
      <x:c r="A6" s="15" t="n">
        <x:v>5</x:v>
      </x:c>
      <x:c r="B6" s="15" t="str">
        <x:v>tesa 4962</x:v>
      </x:c>
      <x:c r="C6" s="15" t="str">
        <x:v>Nu am gasit norme specifice in fisa publica</x:v>
      </x:c>
      <x:c r="D6" s="15" t="str">
        <x:v>Necunoscut</x:v>
      </x:c>
      <x:c r="E6" s="15" t="str">
        <x:v>Partial / neconfirmat</x:v>
      </x:c>
      <x:c r="F6" s="15" t="str">
        <x:v>Fisa publica contine date tehnice generale, nu norme automotive/ASTM/ISO explicite in datele gasite.</x:v>
      </x:c>
      <x:c r="G6" s="15" t="str">
        <x:v>https://www.tesa.com/en/industry/tesa-4962.html</x:v>
      </x:c>
    </x:row>
    <x:row r="7">
      <x:c r="A7" s="15" t="n">
        <x:v>6</x:v>
      </x:c>
      <x:c r="B7" s="15" t="str">
        <x:v>ATP S-4707</x:v>
      </x:c>
      <x:c r="C7" s="15" t="str">
        <x:v>AFERA 5001; ATP AA-B-12-07; ISO/TS 16949; DIN EN ISO 9001; DIN EN ISO 14001</x:v>
      </x:c>
      <x:c r="D7" s="15" t="str">
        <x:v>Test adeziune; temperatura; calitate/mediu</x:v>
      </x:c>
      <x:c r="E7" s="15" t="str">
        <x:v>Partial confirmat</x:v>
      </x:c>
      <x:c r="F7" s="15" t="str">
        <x:v>Am gasit variante S-4707 LBG / AR; pentru S-4707 simplu trebuie confirmata varianta exacta.</x:v>
      </x:c>
      <x:c r="G7" s="15" t="str">
        <x:v>https://www.special-plast.se/wp-content/uploads/2025/04/S-4707-LBG-2023.pdf</x:v>
      </x:c>
    </x:row>
    <x:row r="8">
      <x:c r="A8" s="15" t="n">
        <x:v>7</x:v>
      </x:c>
      <x:c r="B8" s="15" t="str">
        <x:v>Biolink TL50LE20</x:v>
      </x:c>
      <x:c r="C8" s="15" t="str">
        <x:v>Nu am gasit fisa publica exacta</x:v>
      </x:c>
      <x:c r="D8" s="15" t="str">
        <x:v>Necunoscut</x:v>
      </x:c>
      <x:c r="E8" s="15" t="str">
        <x:v>De cerut TDS oficial</x:v>
      </x:c>
      <x:c r="F8" s="15" t="str">
        <x:v>Probabil cod Saint-Gobain/Biolink intern sau varianta custom.</x:v>
      </x:c>
      <x:c r="G8" s="15" t="str"/>
    </x:row>
    <x:row r="9">
      <x:c r="A9" s="15" t="n">
        <x:v>8</x:v>
      </x:c>
      <x:c r="B9" s="15" t="str">
        <x:v>Biolink 44171</x:v>
      </x:c>
      <x:c r="C9" s="15" t="str">
        <x:v>Nu am gasit fisa publica exacta</x:v>
      </x:c>
      <x:c r="D9" s="15" t="str">
        <x:v>Necunoscut</x:v>
      </x:c>
      <x:c r="E9" s="15" t="str">
        <x:v>De cerut TDS oficial</x:v>
      </x:c>
      <x:c r="F9" s="15" t="str">
        <x:v>Am gasit doar variante apropiate Biolink, nu recomand asociere fara confirmare.</x:v>
      </x:c>
      <x:c r="G9" s="15" t="str">
        <x:v>https://www.tapesolutions.saint-gobain.com/sites/hps-mac3-composites-tapesolutions/files/assetbank_media/Biolink-unilink-4411-ht-pev-Adhesive-Tape-EU-TDS-263247.pdf</x:v>
      </x:c>
    </x:row>
    <x:row r="10">
      <x:c r="A10" s="15" t="n">
        <x:v>9</x:v>
      </x:c>
      <x:c r="B10" s="15" t="str">
        <x:v>3M 99015LVC</x:v>
      </x:c>
      <x:c r="C10" s="15" t="str">
        <x:v>JAMA; VDA 278; ASTM D3652; ASTM D3330</x:v>
      </x:c>
      <x:c r="D10" s="15" t="str">
        <x:v>VOC; grosime; peel adhesion</x:v>
      </x:c>
      <x:c r="E10" s="15" t="str">
        <x:v>Confirmat public</x:v>
      </x:c>
      <x:c r="F10" s="15" t="str">
        <x:v>Low fog / low emission pentru cerinte VOC conform JAMA si VDA 278; grosime ASTM D3652; peel ASTM D3330.</x:v>
      </x:c>
      <x:c r="G10" s="15" t="str">
        <x:v>https://multimedia.3m.com/mws/media/2522911O/3m-low-voc-tape-99015lvc.pdf?fn=3M-Low-VOC-Tape-99015LVC.pdf</x:v>
      </x:c>
    </x:row>
    <x:row r="11">
      <x:c r="A11" s="15" t="n">
        <x:v>10</x:v>
      </x:c>
      <x:c r="B11" s="15" t="str">
        <x:v>ATP S-4710 AG PO</x:v>
      </x:c>
      <x:c r="C11" s="15" t="str">
        <x:v>AFERA 5001; ATP AA-B-12-07; ISO/TS 16949; DIN EN ISO 9001; DIN EN ISO 14001</x:v>
      </x:c>
      <x:c r="D11" s="15" t="str">
        <x:v>Test adeziune; temperatura; calitate/mediu</x:v>
      </x:c>
      <x:c r="E11" s="15" t="str">
        <x:v>Partial confirmat</x:v>
      </x:c>
      <x:c r="F11" s="15" t="str">
        <x:v>Date gasite pentru S-4710 AG; varianta PO trebuie confirmata cu TDS oficial.</x:v>
      </x:c>
      <x:c r="G11" s="15" t="str">
        <x:v>https://dynafoam.co.za/wp-content/uploads/2022/02/TDS-S-4710-AG-.pdf</x:v>
      </x:c>
    </x:row>
    <x:row r="12">
      <x:c r="A12" s="15" t="n">
        <x:v>11</x:v>
      </x:c>
      <x:c r="B12" s="15" t="str">
        <x:v>NEALOCAT</x:v>
      </x:c>
      <x:c r="C12" s="15" t="str">
        <x:v>-</x:v>
      </x:c>
      <x:c r="D12" s="15" t="str">
        <x:v>-</x:v>
      </x:c>
      <x:c r="E12" s="15" t="str">
        <x:v>Neaplicabil</x:v>
      </x:c>
      <x:c r="F12" s="15" t="str">
        <x:v>Nu este produs/cod material.</x:v>
      </x:c>
      <x:c r="G12" s="15" t="str"/>
    </x:row>
    <x:row r="13">
      <x:c r="A13" s="15" t="n">
        <x:v>12</x:v>
      </x:c>
      <x:c r="B13" s="15" t="str">
        <x:v>ATP S-4216 AR</x:v>
      </x:c>
      <x:c r="C13" s="15" t="str">
        <x:v>AFERA 5001; ATP AA-B-12-07</x:v>
      </x:c>
      <x:c r="D13" s="15" t="str">
        <x:v>Test adeziune; temperatura</x:v>
      </x:c>
      <x:c r="E13" s="15" t="str">
        <x:v>Confirmat public</x:v>
      </x:c>
      <x:c r="F13" s="15" t="str">
        <x:v>Adhesive strength conform AFERA 5001; temperatura conform ATP AA-B-12-07.</x:v>
      </x:c>
      <x:c r="G13" s="15" t="str">
        <x:v>https://dynafoam.co.za/wp-content/uploads/2022/02/TDS-S-4216-AR.pdf</x:v>
      </x:c>
    </x:row>
    <x:row r="14">
      <x:c r="A14" s="15" t="n">
        <x:v>13</x:v>
      </x:c>
      <x:c r="B14" s="15" t="str">
        <x:v>Avery FT125</x:v>
      </x:c>
      <x:c r="C14" s="15" t="str">
        <x:v>ASTM D3652; ASTM D3330</x:v>
      </x:c>
      <x:c r="D14" s="15" t="str">
        <x:v>Grosime; peel adhesion</x:v>
      </x:c>
      <x:c r="E14" s="15" t="str">
        <x:v>Confirmat public</x:v>
      </x:c>
      <x:c r="F14" s="15" t="str">
        <x:v>ASTM D3652 pentru grosime; ASTM D3330 pentru peel adhesion 180 grade.</x:v>
      </x:c>
      <x:c r="G14" s="15" t="str">
        <x:v>https://tapes.averydennison.com/content/dam/averydennison/pt/products/tds/FT-125-datasheet.pdf</x:v>
      </x:c>
    </x:row>
    <x:row r="15">
      <x:c r="A15" s="15" t="n">
        <x:v>14</x:v>
      </x:c>
      <x:c r="B15" s="15" t="str">
        <x:v>ATP S-4111 F/LB</x:v>
      </x:c>
      <x:c r="C15" s="15" t="str">
        <x:v>AFERA 5001; ATP AA-B-12-07; ISO/TS 16949; DIN EN ISO 9001; DIN EN ISO 14001</x:v>
      </x:c>
      <x:c r="D15" s="15" t="str">
        <x:v>Test adeziune; temperatura; calitate/mediu</x:v>
      </x:c>
      <x:c r="E15" s="15" t="str">
        <x:v>Confirmat public</x:v>
      </x:c>
      <x:c r="F15" s="15" t="str">
        <x:v>Fisa publica gasita pentru S-4111 F/LB.</x:v>
      </x:c>
      <x:c r="G15" s="15" t="str">
        <x:v>https://www.special-plast.se/wp-content/uploads/2025/04/S-4111-F_LB-2025.pdf</x:v>
      </x:c>
    </x:row>
    <x:row r="16">
      <x:c r="A16" s="15" t="n">
        <x:v>15</x:v>
      </x:c>
      <x:c r="B16" s="15" t="str">
        <x:v>Nitto 5015E</x:v>
      </x:c>
      <x:c r="C16" s="15" t="str">
        <x:v>UL 746A; UL 746C; EN 1942; EN 1939 / ISO 29862; EN 1943; RoHS</x:v>
      </x:c>
      <x:c r="D16" s="15" t="str">
        <x:v>UL; grosime; aderenta; shear; conformitate</x:v>
      </x:c>
      <x:c r="E16" s="15" t="str">
        <x:v>Confirmat public</x:v>
      </x:c>
      <x:c r="F16" s="15" t="str">
        <x:v>Fisa Nitto indica metode EN/ISO si UL; unele fise indica RoHS 2011/65/EC + 2015/863.</x:v>
      </x:c>
      <x:c r="G16" s="15" t="str">
        <x:v>https://www.nitto.com/br/pt/others/products/file/datasheet/NBE_5015E_ENG.pdf</x:v>
      </x:c>
    </x:row>
    <x:row r="17">
      <x:c r="A17" s="15" t="n">
        <x:v>16</x:v>
      </x:c>
      <x:c r="B17" s="15" t="str">
        <x:v>ATP S-4710 AR</x:v>
      </x:c>
      <x:c r="C17" s="15" t="str">
        <x:v>Nu am gasit TDS complet public cu norme</x:v>
      </x:c>
      <x:c r="D17" s="15" t="str">
        <x:v>Necunoscut</x:v>
      </x:c>
      <x:c r="E17" s="15" t="str">
        <x:v>De cerut TDS oficial</x:v>
      </x:c>
      <x:c r="F17" s="15" t="str">
        <x:v>Sursa distribuitor confirma produsul; normele trebuie confirmate pe fisa exacta.</x:v>
      </x:c>
      <x:c r="G17" s="15" t="str">
        <x:v>https://www.reinle-gk.de/wp-content/uploads/2021/11/16247-70265-ATP-S-4710-AR-Transferkleber.pdf</x:v>
      </x:c>
    </x:row>
    <x:row r="18">
      <x:c r="A18" s="15" t="n">
        <x:v>17</x:v>
      </x:c>
      <x:c r="B18" s="15" t="str">
        <x:v>Avery FT7515</x:v>
      </x:c>
      <x:c r="C18" s="15" t="str">
        <x:v>ASTM D3652; ASTM D3330; ASTM D6195; ASTM D3654</x:v>
      </x:c>
      <x:c r="D18" s="15" t="str">
        <x:v>Grosime; peel; loop tack; static shear</x:v>
      </x:c>
      <x:c r="E18" s="15" t="str">
        <x:v>Confirmat public</x:v>
      </x:c>
      <x:c r="F18" s="15" t="str">
        <x:v>Grosime, peel adhesion, loop tack si static shear.</x:v>
      </x:c>
      <x:c r="G18" s="15" t="str">
        <x:v>https://tapes.averydennison.com/content/dam/averydennison/pt/products/tds/FT-7515-datasheet.pdf</x:v>
      </x:c>
    </x:row>
    <x:row r="19">
      <x:c r="A19" s="15" t="n">
        <x:v>18</x:v>
      </x:c>
      <x:c r="B19" s="15" t="str">
        <x:v>tesa 66013</x:v>
      </x:c>
      <x:c r="C19" s="15" t="str">
        <x:v>GB 27630</x:v>
      </x:c>
      <x:c r="D19" s="15" t="str">
        <x:v>VOC interior auto</x:v>
      </x:c>
      <x:c r="E19" s="15" t="str">
        <x:v>Confirmat public</x:v>
      </x:c>
      <x:c r="F19" s="15" t="str">
        <x:v>Low VOC conform GB 27630; fisa mentioneaza ca nu sunt detectabile substante critice.</x:v>
      </x:c>
      <x:c r="G19" s="15" t="str">
        <x:v>https://www.tesa.com/en-gb/files/download/11238057%2C3%2Cmedium-11238057.pdf</x:v>
      </x:c>
    </x:row>
    <x:row r="20">
      <x:c r="A20" s="15" t="n">
        <x:v>19</x:v>
      </x:c>
      <x:c r="B20" s="15" t="str">
        <x:v>Nitto 5015T</x:v>
      </x:c>
      <x:c r="C20" s="15" t="str">
        <x:v>EN 1942; EN 1939 / ISO 29862; EN 1943; RoHS in fise mai vechi</x:v>
      </x:c>
      <x:c r="D20" s="15" t="str">
        <x:v>Grosime; aderenta; shear; conformitate</x:v>
      </x:c>
      <x:c r="E20" s="15" t="str">
        <x:v>Confirmat public</x:v>
      </x:c>
      <x:c r="F20" s="15" t="str">
        <x:v>Fisa 2025 Nitto 5015T/5015TP indica metode EN/ISO; variante mai vechi mentioneaza RoHS.</x:v>
      </x:c>
      <x:c r="G20" s="15" t="str">
        <x:v>https://www.nitto.com/us/en/others/products/file/datasheet/NBE_5015T_5015TP_ENG.pdf</x:v>
      </x:c>
    </x:row>
    <x:row r="21">
      <x:c r="A21" s="15" t="n">
        <x:v>20</x:v>
      </x:c>
      <x:c r="B21" s="15" t="str">
        <x:v>tesa 52215</x:v>
      </x:c>
      <x:c r="C21" s="15" t="str">
        <x:v>VDA 278</x:v>
      </x:c>
      <x:c r="D21" s="15" t="str">
        <x:v>VOC / emisii interior auto</x:v>
      </x:c>
      <x:c r="E21" s="15" t="str">
        <x:v>Confirmat public</x:v>
      </x:c>
      <x:c r="F21" s="15" t="str">
        <x:v>Ultra low total VOC concentration according to VDA 278 analysis.</x:v>
      </x:c>
      <x:c r="G21" s="15" t="str">
        <x:v>https://www.tesa.com/en/files/download/12234917%2C1%2Cmedium-12234917.pdf</x:v>
      </x:c>
    </x:row>
    <x:row r="22">
      <x:c r="A22" s="15" t="n">
        <x:v>21</x:v>
      </x:c>
      <x:c r="B22" s="15" t="str">
        <x:v>ATP S-4610 AG</x:v>
      </x:c>
      <x:c r="C22" s="15" t="str">
        <x:v>AFERA 5001; ATP AA-B-12-07</x:v>
      </x:c>
      <x:c r="D22" s="15" t="str">
        <x:v>Test adeziune; temperatura</x:v>
      </x:c>
      <x:c r="E22" s="15" t="str">
        <x:v>Confirmat public / partial pentru varianta PO60</x:v>
      </x:c>
      <x:c r="F22" s="15" t="str">
        <x:v>Fisa S-4610 AG PO60 indica AFERA 5001 si ATP AA-B-12-07; CCT listeaza S-4610 AG cu caracteristica Low VOC.</x:v>
      </x:c>
      <x:c r="G22" s="15" t="str">
        <x:v>https://www.special-plast.se/wp-content/uploads/2025/04/S-4610-AG-PO60-2025.pdf</x:v>
      </x:c>
    </x:row>
  </x:sheetData>
  <x:conditionalFormatting sqref="E2:E22">
    <x:cfRule type="expression" dxfId="0" priority="1">
      <x:formula>ISNUMBER(SEARCH("Confirmat",E2))</x:formula>
    </x:cfRule>
    <x:cfRule type="expression" dxfId="1" priority="2">
      <x:formula>ISNUMBER(SEARCH("Partial",E2))</x:formula>
    </x:cfRule>
    <x:cfRule type="expression" dxfId="2" priority="3">
      <x:formula>ISNUMBER(SEARCH("De cerut",E2))</x:formula>
    </x:cfRule>
    <x:cfRule type="expression" dxfId="3" priority="4">
      <x:formula>E2="Neaplicabil"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88325b38a14d6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16" hidden="0" customWidth="1"/>
  </x:cols>
  <x:sheetData>
    <x:row r="1">
      <x:c r="A1" s="5" t="str">
        <x:v>Categorie</x:v>
      </x:c>
      <x:c r="B1" s="5" t="str">
        <x:v>Numar produse</x:v>
      </x:c>
      <x:c r="C1" s="5" t="str">
        <x:v>Observatii</x:v>
      </x:c>
    </x:row>
    <x:row r="2">
      <x:c r="A2" s="12" t="str">
        <x:v>Confirmate public</x:v>
      </x:c>
      <x:c r="B2" s="12" t="n">
        <x:f>COUNTIF('Centralizare adezivi'!E:E,"*Confirmat public*")</x:f>
        <x:v>0</x:v>
      </x:c>
      <x:c r="C2" s="12" t="str">
        <x:v>Produse cu TDS public sau sursa publica clara.</x:v>
      </x:c>
    </x:row>
    <x:row r="3">
      <x:c r="A3" s="12" t="str">
        <x:v>Partial confirmate</x:v>
      </x:c>
      <x:c r="B3" s="12" t="n">
        <x:f>COUNTIF('Centralizare adezivi'!E:E,"*Partial*")</x:f>
        <x:v>0</x:v>
      </x:c>
      <x:c r="C3" s="12" t="str">
        <x:v>Exista date pentru varianta apropiata sau informatii incomplete.</x:v>
      </x:c>
    </x:row>
    <x:row r="4">
      <x:c r="A4" s="12" t="str">
        <x:v>De cerut TDS oficial</x:v>
      </x:c>
      <x:c r="B4" s="12" t="n">
        <x:f>COUNTIF('Centralizare adezivi'!E:E,"*De cerut*")</x:f>
        <x:v>0</x:v>
      </x:c>
      <x:c r="C4" s="12" t="str">
        <x:v>Necesita confirmare de la furnizor/producator.</x:v>
      </x:c>
    </x:row>
    <x:row r="5">
      <x:c r="A5" s="12" t="str">
        <x:v>Neaplicabil</x:v>
      </x:c>
      <x:c r="B5" s="12" t="n">
        <x:f>COUNTIF('Centralizare adezivi'!E:E,"Neaplicabil")</x:f>
        <x:v>1</x:v>
      </x:c>
      <x:c r="C5" s="12" t="str">
        <x:v>Nu este cod material.</x:v>
      </x:c>
    </x:row>
    <x:row r="8">
      <x:c r="A8" s="22" t="str">
        <x:v>Norma / standard</x:v>
      </x:c>
      <x:c r="B8" s="22" t="str">
        <x:v>Produse unde apare</x:v>
      </x:c>
      <x:c r="C8" s="22" t="str">
        <x:v>Numar produse</x:v>
      </x:c>
    </x:row>
    <x:row r="9">
      <x:c r="A9" s="12" t="str">
        <x:v>AFERA 5001</x:v>
      </x:c>
      <x:c r="B9" s="12" t="str">
        <x:v>ATP S-4610 MF, ATP S-4707, ATP S-4710 AG PO, ATP S-4216 AR, ATP S-4111 F/LB, ATP S-4610 AG</x:v>
      </x:c>
      <x:c r="C9" s="12" t="n">
        <x:v>6</x:v>
      </x:c>
    </x:row>
    <x:row r="10">
      <x:c r="A10" s="12" t="str">
        <x:v>ASTM D3330</x:v>
      </x:c>
      <x:c r="B10" s="12" t="str">
        <x:v>3M 99786 / 99786+, 3M 99015LVC, Avery FT125, Avery FT7515</x:v>
      </x:c>
      <x:c r="C10" s="12" t="n">
        <x:v>4</x:v>
      </x:c>
    </x:row>
    <x:row r="11">
      <x:c r="A11" s="12" t="str">
        <x:v>ASTM D3652</x:v>
      </x:c>
      <x:c r="B11" s="12" t="str">
        <x:v>3M 99015LVC, Avery FT125, Avery FT7515</x:v>
      </x:c>
      <x:c r="C11" s="12" t="n">
        <x:v>3</x:v>
      </x:c>
    </x:row>
    <x:row r="12">
      <x:c r="A12" s="12" t="str">
        <x:v>ASTM D3654</x:v>
      </x:c>
      <x:c r="B12" s="12" t="str">
        <x:v>Avery FT7515</x:v>
      </x:c>
      <x:c r="C12" s="12" t="n">
        <x:v>1</x:v>
      </x:c>
    </x:row>
    <x:row r="13">
      <x:c r="A13" s="12" t="str">
        <x:v>ASTM D6195</x:v>
      </x:c>
      <x:c r="B13" s="12" t="str">
        <x:v>Avery FT7515</x:v>
      </x:c>
      <x:c r="C13" s="12" t="n">
        <x:v>1</x:v>
      </x:c>
    </x:row>
    <x:row r="14">
      <x:c r="A14" s="12" t="str">
        <x:v>ATP AA-B-12-07</x:v>
      </x:c>
      <x:c r="B14" s="12" t="str">
        <x:v>ATP S-4610 MF, ATP S-4707, ATP S-4710 AG PO, ATP S-4216 AR, ATP S-4111 F/LB, ATP S-4610 AG</x:v>
      </x:c>
      <x:c r="C14" s="12" t="n">
        <x:v>6</x:v>
      </x:c>
    </x:row>
    <x:row r="15">
      <x:c r="A15" s="12" t="str">
        <x:v>DIN EN ISO 14001</x:v>
      </x:c>
      <x:c r="B15" s="12" t="str">
        <x:v>ATP S-4610 MF, ATP S-4707, ATP S-4710 AG PO, ATP S-4111 F/LB</x:v>
      </x:c>
      <x:c r="C15" s="12" t="n">
        <x:v>4</x:v>
      </x:c>
    </x:row>
    <x:row r="16">
      <x:c r="A16" s="12" t="str">
        <x:v>DIN EN ISO 9001</x:v>
      </x:c>
      <x:c r="B16" s="12" t="str">
        <x:v>ATP S-4610 MF, ATP S-4707, ATP S-4710 AG PO, ATP S-4111 F/LB</x:v>
      </x:c>
      <x:c r="C16" s="12" t="n">
        <x:v>4</x:v>
      </x:c>
    </x:row>
    <x:row r="17">
      <x:c r="A17" s="12" t="str">
        <x:v>EN 1939 / ISO 29862</x:v>
      </x:c>
      <x:c r="B17" s="12" t="str">
        <x:v>Nitto 5015E, Nitto 5015T</x:v>
      </x:c>
      <x:c r="C17" s="12" t="n">
        <x:v>2</x:v>
      </x:c>
    </x:row>
    <x:row r="18">
      <x:c r="A18" s="12" t="str">
        <x:v>EN 1942</x:v>
      </x:c>
      <x:c r="B18" s="12" t="str">
        <x:v>Nitto 5015E, Nitto 5015T</x:v>
      </x:c>
      <x:c r="C18" s="12" t="n">
        <x:v>2</x:v>
      </x:c>
    </x:row>
    <x:row r="19">
      <x:c r="A19" s="12" t="str">
        <x:v>EN 1943</x:v>
      </x:c>
      <x:c r="B19" s="12" t="str">
        <x:v>Nitto 5015E, Nitto 5015T</x:v>
      </x:c>
      <x:c r="C19" s="12" t="n">
        <x:v>2</x:v>
      </x:c>
    </x:row>
    <x:row r="20">
      <x:c r="A20" s="12" t="str">
        <x:v>GB 27630</x:v>
      </x:c>
      <x:c r="B20" s="12" t="str">
        <x:v>tesa 66013</x:v>
      </x:c>
      <x:c r="C20" s="12" t="n">
        <x:v>1</x:v>
      </x:c>
    </x:row>
    <x:row r="21">
      <x:c r="A21" s="12" t="str">
        <x:v>ISO 9001</x:v>
      </x:c>
      <x:c r="B21" s="12" t="str">
        <x:v>3M 99786 / 99786+</x:v>
      </x:c>
      <x:c r="C21" s="12" t="n">
        <x:v>1</x:v>
      </x:c>
    </x:row>
    <x:row r="22">
      <x:c r="A22" s="12" t="str">
        <x:v>ISO 9002</x:v>
      </x:c>
      <x:c r="B22" s="12" t="str">
        <x:v>3M CT-6348</x:v>
      </x:c>
      <x:c r="C22" s="12" t="n">
        <x:v>1</x:v>
      </x:c>
    </x:row>
    <x:row r="23">
      <x:c r="A23" s="12" t="str">
        <x:v>ISO/TS 16949</x:v>
      </x:c>
      <x:c r="B23" s="12" t="str">
        <x:v>ATP S-4610 MF, ATP S-4707, ATP S-4710 AG PO, ATP S-4111 F/LB</x:v>
      </x:c>
      <x:c r="C23" s="12" t="n">
        <x:v>4</x:v>
      </x:c>
    </x:row>
    <x:row r="24">
      <x:c r="A24" s="12" t="str">
        <x:v>JAMA</x:v>
      </x:c>
      <x:c r="B24" s="12" t="str">
        <x:v>3M 99015LVC</x:v>
      </x:c>
      <x:c r="C24" s="12" t="n">
        <x:v>1</x:v>
      </x:c>
    </x:row>
    <x:row r="25">
      <x:c r="A25" s="12" t="str">
        <x:v>RoHS</x:v>
      </x:c>
      <x:c r="B25" s="12" t="str">
        <x:v>Nitto 5015E</x:v>
      </x:c>
      <x:c r="C25" s="12" t="n">
        <x:v>1</x:v>
      </x:c>
    </x:row>
    <x:row r="26">
      <x:c r="A26" s="12" t="str">
        <x:v>RoHS in fise mai vechi</x:v>
      </x:c>
      <x:c r="B26" s="12" t="str">
        <x:v>Nitto 5015T</x:v>
      </x:c>
      <x:c r="C26" s="12" t="n">
        <x:v>1</x:v>
      </x:c>
    </x:row>
    <x:row r="27">
      <x:c r="A27" s="12" t="str">
        <x:v>SAE J1756</x:v>
      </x:c>
      <x:c r="B27" s="12" t="str">
        <x:v>3M 99786 / 99786+</x:v>
      </x:c>
      <x:c r="C27" s="12" t="n">
        <x:v>1</x:v>
      </x:c>
    </x:row>
    <x:row r="28">
      <x:c r="A28" s="12" t="str">
        <x:v>UL 746A</x:v>
      </x:c>
      <x:c r="B28" s="12" t="str">
        <x:v>Nitto 5015E</x:v>
      </x:c>
      <x:c r="C28" s="12" t="n">
        <x:v>1</x:v>
      </x:c>
    </x:row>
    <x:row r="29">
      <x:c r="A29" s="12" t="str">
        <x:v>UL 746C</x:v>
      </x:c>
      <x:c r="B29" s="12" t="str">
        <x:v>Nitto 5015E</x:v>
      </x:c>
      <x:c r="C29" s="12" t="n">
        <x:v>1</x:v>
      </x:c>
    </x:row>
    <x:row r="30">
      <x:c r="A30" s="12" t="str">
        <x:v>VDA 278</x:v>
      </x:c>
      <x:c r="B30" s="12" t="str">
        <x:v>3M 99015LVC, tesa 52215</x:v>
      </x:c>
      <x:c r="C30" s="12" t="n">
        <x:v>2</x:v>
      </x:c>
    </x:row>
    <x:row r="31">
      <x:c r="A31" s="12" t="str">
        <x:v>metode standard de testare mentionate in TDS</x:v>
      </x:c>
      <x:c r="B31" s="12" t="str">
        <x:v>3M CT-6348</x:v>
      </x:c>
      <x:c r="C31" s="12" t="n">
        <x:v>1</x:v>
      </x:c>
    </x:row>
  </x:sheetData>
  <x:pageMargins left="0.7" right="0.7" top="0.75" bottom="0.75" header="0.3" footer="0.3"/>
  <x:tableParts count="2">
    <x:tablePart xmlns:r="http://schemas.openxmlformats.org/officeDocument/2006/relationships" r:id="Rf7f54c52f87e4fe7"/>
    <x:tablePart xmlns:r="http://schemas.openxmlformats.org/officeDocument/2006/relationships" r:id="R657e5be4dd8c40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6" t="str">
        <x:v>Document</x:v>
      </x:c>
      <x:c r="B1" s="15" t="str">
        <x:v>Centralizare norme / standarde din fise tehnice adezivi</x:v>
      </x:c>
    </x:row>
    <x:row r="2">
      <x:c r="A2" s="26" t="str">
        <x:v>Data</x:v>
      </x:c>
      <x:c r="B2" s="15" t="str">
        <x:v>2026-07-14</x:v>
      </x:c>
    </x:row>
    <x:row r="3">
      <x:c r="A3" s="26" t="str">
        <x:v>Important</x:v>
      </x:c>
      <x:c r="B3" s="15" t="str">
        <x:v>Linkurile sunt trecute ca URL plain text in coloana Sursa / link TDS public. Pentru PPAP / IMDS / audit client, foloseste TDS oficial primit de la producator sau distribuitor, nu doar date publice web.</x:v>
      </x:c>
    </x:row>
    <x:row r="4">
      <x:c r="A4" s="26" t="str">
        <x:v>Interpretare status</x:v>
      </x:c>
      <x:c r="B4" s="15" t="str">
        <x:v>Confirmat public = am gasit TDS sau sursa publica clara; Partial = varianta apropiata sau date incomplete; De cerut TDS oficial = nu am gasit fisa exacta publica.</x:v>
      </x:c>
    </x:row>
    <x:row r="5">
      <x:c r="A5" s="26" t="str">
        <x:v>Recomandare</x:v>
      </x:c>
      <x:c r="B5" s="15" t="str">
        <x:v>Pentru materialele ATP/Biolink unde codul pare custom sau varianta speciala, cere TDS exact pe cod, declaratie REACH/RoHS si eventual confirmare VOC / automotive.</x:v>
      </x:c>
    </x:row>
  </x:sheetData>
  <x:pageMargins left="0.7" right="0.7" top="0.75" bottom="0.75" header="0.3" footer="0.3"/>
</x:worksheet>
</file>